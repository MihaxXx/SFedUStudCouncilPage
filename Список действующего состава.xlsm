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ikhail\source\repos\SFedUStudCouncilSiteSection\"/>
    </mc:Choice>
  </mc:AlternateContent>
  <bookViews>
    <workbookView xWindow="-120" yWindow="-120" windowWidth="29040" windowHeight="15840" activeTab="3"/>
  </bookViews>
  <sheets>
    <sheet name="ИТОГ" sheetId="4" r:id="rId1"/>
    <sheet name="Председатель ОСО и заместители" sheetId="3" r:id="rId2"/>
    <sheet name="Председатели СО СП" sheetId="2" r:id="rId3"/>
    <sheet name="Руководители студобъединений" sheetId="1" r:id="rId4"/>
  </sheets>
  <functionGroups builtInGroupCount="18"/>
  <definedNames>
    <definedName name="oso1_" localSheetId="1">'Председатель ОСО и заместители'!$A$2:$G$9</definedName>
    <definedName name="oso2_" localSheetId="2">'Председатели СО СП'!$A$2:$G$25</definedName>
    <definedName name="oso3_" localSheetId="3">'Руководители студобъединений'!$A$2:$G$18</definedName>
    <definedName name="untitled_text" localSheetId="2">'Председатели СО СП'!#REF!</definedName>
    <definedName name="untitled_text_1" localSheetId="3">'Руководители студобъединений'!$B$2:$B$18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B6" i="4" l="1"/>
  <c r="C6" i="4" s="1"/>
  <c r="C2" i="4"/>
  <c r="H3" i="3"/>
  <c r="H4" i="3"/>
  <c r="H5" i="3"/>
  <c r="H6" i="3"/>
  <c r="H7" i="3"/>
  <c r="H8" i="3"/>
  <c r="H9" i="3"/>
  <c r="H19" i="2"/>
  <c r="H20" i="2"/>
  <c r="H21" i="2"/>
  <c r="H22" i="2"/>
  <c r="H23" i="2"/>
  <c r="H24" i="2"/>
  <c r="H25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B3" i="4"/>
  <c r="B4" i="4"/>
  <c r="C4" i="4" l="1"/>
  <c r="C3" i="4"/>
  <c r="H17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8" i="1"/>
  <c r="H2" i="1"/>
  <c r="B5" i="4"/>
  <c r="C5" i="4" l="1"/>
  <c r="C12" i="4"/>
</calcChain>
</file>

<file path=xl/connections.xml><?xml version="1.0" encoding="utf-8"?>
<connections xmlns="http://schemas.openxmlformats.org/spreadsheetml/2006/main">
  <connection id="1" name="oso1" type="6" refreshedVersion="6" background="1" saveData="1">
    <textPr codePage="65001" sourceFile="D:\Downloads\oso\oso1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so2" type="6" refreshedVersion="6" background="1" saveData="1">
    <textPr codePage="65001" sourceFile="D:\Downloads\oso\oso2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so3" type="6" refreshedVersion="6" background="1" saveData="1">
    <textPr codePage="65001" sourceFile="D:\Downloads\oso\oso3.csv" decimal="," thousands=" 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ntitled text1" type="6" refreshedVersion="7" background="1" saveData="1">
    <textPr codePage="65001" sourceFile="/Users/mikhail/Downloads/untitled text.csv" decimal="," thousands=" " tab="0" delimiter="–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<sst xmlns="http://schemas.openxmlformats.org/spreadsheetml/2006/main" count="347" uniqueCount="309">
  <si>
    <t>Полное название структуры</t>
  </si>
  <si>
    <t>Краткое название структуры</t>
  </si>
  <si>
    <t>Фото</t>
  </si>
  <si>
    <t>Ссылка на ВК рук-ля</t>
  </si>
  <si>
    <t>ФИ рук-ля</t>
  </si>
  <si>
    <t>Срок полномочий</t>
  </si>
  <si>
    <t>Телефон</t>
  </si>
  <si>
    <t>ВЦ</t>
  </si>
  <si>
    <t>СИЦ</t>
  </si>
  <si>
    <t>Варламова Елена</t>
  </si>
  <si>
    <t>ССК</t>
  </si>
  <si>
    <t>Совет по КО</t>
  </si>
  <si>
    <t>Кучма Дарья</t>
  </si>
  <si>
    <t>ИПЦ</t>
  </si>
  <si>
    <t>Интерклуб</t>
  </si>
  <si>
    <t>КСН</t>
  </si>
  <si>
    <t>Толстоухов Игорь</t>
  </si>
  <si>
    <t>Гедз Александр</t>
  </si>
  <si>
    <t>Костина Анна</t>
  </si>
  <si>
    <t>Худсовет</t>
  </si>
  <si>
    <t>ШСО</t>
  </si>
  <si>
    <t>Лига дебатов</t>
  </si>
  <si>
    <t>Кадровое агентство</t>
  </si>
  <si>
    <t>Мнацаканян Михаил</t>
  </si>
  <si>
    <t>Лапыгин Дмитрий</t>
  </si>
  <si>
    <t>SFEDUMEDIA</t>
  </si>
  <si>
    <t>ЭкоЮФУ</t>
  </si>
  <si>
    <t>Экологическое объединение ЮФУ</t>
  </si>
  <si>
    <t>Волонтёрский центр</t>
  </si>
  <si>
    <t>Студенческий информационный центр</t>
  </si>
  <si>
    <t>Студенческий спортивный клуб</t>
  </si>
  <si>
    <t>Открытая лига интеллектуальных игр ЮФУ</t>
  </si>
  <si>
    <t>Совет обучающихся по качеству образования</t>
  </si>
  <si>
    <t>Историко-патриотический центр</t>
  </si>
  <si>
    <t>Интернациональный клуб ЮФУ</t>
  </si>
  <si>
    <t>Корпус студенческого наставничества</t>
  </si>
  <si>
    <t>Вкурсе.TV</t>
  </si>
  <si>
    <t>LENS</t>
  </si>
  <si>
    <t>Художественный совет ЮФУ</t>
  </si>
  <si>
    <t>Ростовская лига дебатов</t>
  </si>
  <si>
    <t>Кадровое агентство ОСО</t>
  </si>
  <si>
    <t>https://vk.com/id78356994</t>
  </si>
  <si>
    <t>https://vk.com/id227078696</t>
  </si>
  <si>
    <t>https://vk.com/dorylagans</t>
  </si>
  <si>
    <t>https://vk.com/gedzbully</t>
  </si>
  <si>
    <t>https://vk.com/mihailmn</t>
  </si>
  <si>
    <t>https://vk.com/dmitriylapygin</t>
  </si>
  <si>
    <t>+7 (961) 332-19-56</t>
  </si>
  <si>
    <t>https://vk.com/id272798051</t>
  </si>
  <si>
    <t>https://vk.com/gikrid</t>
  </si>
  <si>
    <t>Gedz_Vkurse.jpg</t>
  </si>
  <si>
    <t>Корпус общественных наблюдателей</t>
  </si>
  <si>
    <t>КОН</t>
  </si>
  <si>
    <t>Kuchma_SpPKO.jpg</t>
  </si>
  <si>
    <t>Mnacakanyan_Kadri.jpg</t>
  </si>
  <si>
    <t>Varlamova_LIG.jpg</t>
  </si>
  <si>
    <t>Tolsouhov_CST.jpg</t>
  </si>
  <si>
    <t>Штаб студенческих отрядов ЮФУ</t>
  </si>
  <si>
    <t>Kostina_SFEDUmedia.jpg</t>
  </si>
  <si>
    <t>Lapigin_Eco_1.jpg</t>
  </si>
  <si>
    <t>yXuB2hp_7lg.jpg</t>
  </si>
  <si>
    <t>https://vk.com/ryyasna</t>
  </si>
  <si>
    <t>Ряснянская Дарья</t>
  </si>
  <si>
    <t xml:space="preserve">+7 (988) 560-02-02 </t>
  </si>
  <si>
    <t>Шинкаренко.jpg</t>
  </si>
  <si>
    <t>https://vk.com/vet_ochka</t>
  </si>
  <si>
    <t xml:space="preserve">+7 (988) 251-56-81 </t>
  </si>
  <si>
    <t>Василенко.jpg</t>
  </si>
  <si>
    <t>https://vk.com/sqwozson</t>
  </si>
  <si>
    <t>Василенко Игорь</t>
  </si>
  <si>
    <t xml:space="preserve">+7 (988) 552-83-82 </t>
  </si>
  <si>
    <t>+7 (928) 602-72-07</t>
  </si>
  <si>
    <t>Аствацатуров.jpg</t>
  </si>
  <si>
    <t>https://vk.com/aastvatsaturov</t>
  </si>
  <si>
    <t>Аствацатуров Артем</t>
  </si>
  <si>
    <t>+7 (928) 213-38-78</t>
  </si>
  <si>
    <t>Феликс.jpg</t>
  </si>
  <si>
    <t>https://vk.com/felixpadilla96</t>
  </si>
  <si>
    <t>Феликс Падилья</t>
  </si>
  <si>
    <t xml:space="preserve">+7 (952) 565-67-51 </t>
  </si>
  <si>
    <t xml:space="preserve">+7 (918) 166-63-16 </t>
  </si>
  <si>
    <t xml:space="preserve">+7 (989) 705-18-37 </t>
  </si>
  <si>
    <t>Хурда.jpg</t>
  </si>
  <si>
    <t>https://vk.com/s.khurda</t>
  </si>
  <si>
    <t>Хурда Светлана</t>
  </si>
  <si>
    <t xml:space="preserve">+7 (918) 376-35-00 </t>
  </si>
  <si>
    <t xml:space="preserve">+7 (928) 771-41-94 </t>
  </si>
  <si>
    <t>Старук.jpg</t>
  </si>
  <si>
    <t>https://vk.com/aaarina_s</t>
  </si>
  <si>
    <t>Старук Арина</t>
  </si>
  <si>
    <t xml:space="preserve">+7 (988) 948-76-41 </t>
  </si>
  <si>
    <t>Харин.jpg</t>
  </si>
  <si>
    <t>https://vk.com/hahahahaharin</t>
  </si>
  <si>
    <t>Харин Илья</t>
  </si>
  <si>
    <t xml:space="preserve">+7 (988) 545-13-57 </t>
  </si>
  <si>
    <t>Клачарская.jpg</t>
  </si>
  <si>
    <t>https://vk.com/small_muchacha</t>
  </si>
  <si>
    <t>Клачарская Арина</t>
  </si>
  <si>
    <t xml:space="preserve">+7 (988) 258-05-34 </t>
  </si>
  <si>
    <t xml:space="preserve">+7 (928) 107-89-14 </t>
  </si>
  <si>
    <t>Афанасьев.jpg</t>
  </si>
  <si>
    <t>https://vk.com/aflski</t>
  </si>
  <si>
    <t>Афанасьев Александр</t>
  </si>
  <si>
    <t xml:space="preserve">+7 (988) 255-24-91 </t>
  </si>
  <si>
    <t xml:space="preserve">+7 (950) 856-35-33 </t>
  </si>
  <si>
    <t>Академия архитектуры и искусств</t>
  </si>
  <si>
    <t>ААИ</t>
  </si>
  <si>
    <t>TA04XWWNiuM.jpg</t>
  </si>
  <si>
    <t>https://vk.com/beataneverlie</t>
  </si>
  <si>
    <t>Нагибина Беата</t>
  </si>
  <si>
    <t>с апреля 2023 г.</t>
  </si>
  <si>
    <t>Академия биологии и биотехнологии</t>
  </si>
  <si>
    <t>АБиБ</t>
  </si>
  <si>
    <t>Белашова.jpg</t>
  </si>
  <si>
    <t>https://vk.com/leerooookk</t>
  </si>
  <si>
    <t>Белашова Валерия</t>
  </si>
  <si>
    <t>с октября 2022 г.</t>
  </si>
  <si>
    <t>Академия психологии и педагогики</t>
  </si>
  <si>
    <t>АПиП</t>
  </si>
  <si>
    <t>Дробот.jpg</t>
  </si>
  <si>
    <t>https://vk.com/vikadrobot</t>
  </si>
  <si>
    <t>Дробот Виктория</t>
  </si>
  <si>
    <t>с ноября 2022 г.</t>
  </si>
  <si>
    <t>Академия физической культуры и спорта</t>
  </si>
  <si>
    <t>АФКиС</t>
  </si>
  <si>
    <t>Бельченко.jpg</t>
  </si>
  <si>
    <t>https://vk.com/hoodie_hoodrich</t>
  </si>
  <si>
    <t>Бельченко Илья</t>
  </si>
  <si>
    <t>Шилова.jpg</t>
  </si>
  <si>
    <t>https://vk.com/yu_shilovaa</t>
  </si>
  <si>
    <t>Шилова Юлия</t>
  </si>
  <si>
    <t>с марта 2023 г.</t>
  </si>
  <si>
    <t>Институт высоких технологий и пьезотехники</t>
  </si>
  <si>
    <t>ИВТиПТ</t>
  </si>
  <si>
    <t>Moiseenko_FVT.jpg</t>
  </si>
  <si>
    <t>https://vk.com/kaytamba</t>
  </si>
  <si>
    <t>Кайтамба Ален</t>
  </si>
  <si>
    <t>Институт истории и международных отношений</t>
  </si>
  <si>
    <t>ИИМО</t>
  </si>
  <si>
    <t>Мартиросян.jpg</t>
  </si>
  <si>
    <t>https://vk.com/borovskicha</t>
  </si>
  <si>
    <t>Мартиросян Анна</t>
  </si>
  <si>
    <t>Институт компьютерных технологий и информационной безопасности</t>
  </si>
  <si>
    <t>ИКТИБ</t>
  </si>
  <si>
    <t>Ahaminov_IKTIB.jpg</t>
  </si>
  <si>
    <t>https://vk.com/ronov</t>
  </si>
  <si>
    <t>Ахаминов Рамазан</t>
  </si>
  <si>
    <t>Институт математики, механики и компьютерных наук им. И.И. Воровича</t>
  </si>
  <si>
    <t>ИММиКН</t>
  </si>
  <si>
    <t>Шевцова.jpg</t>
  </si>
  <si>
    <t>https://vk.com/gull128</t>
  </si>
  <si>
    <t>Шевцова Анна</t>
  </si>
  <si>
    <t>Институт нанотехнологий, электроники и приборостроения</t>
  </si>
  <si>
    <t>ИНЭП</t>
  </si>
  <si>
    <t>https://vk.com/alzzzze</t>
  </si>
  <si>
    <t>Якунина Ксения</t>
  </si>
  <si>
    <t>Институт наук о Земле</t>
  </si>
  <si>
    <t>ИНоЗ</t>
  </si>
  <si>
    <t>Еременко.jpg</t>
  </si>
  <si>
    <t>https://vk.com/art_eremenko</t>
  </si>
  <si>
    <t>Еременко Артем</t>
  </si>
  <si>
    <t>Институт социологии и регионоведения</t>
  </si>
  <si>
    <t>ИСиР</t>
  </si>
  <si>
    <t>Sidorov_ISiR_1.jpg</t>
  </si>
  <si>
    <t>https://vk.com/mr_yury</t>
  </si>
  <si>
    <t>Сидоров Юрий</t>
  </si>
  <si>
    <t>с июня 2022 г.</t>
  </si>
  <si>
    <t>Институт радиотехнических систем и управления</t>
  </si>
  <si>
    <t>ИРТСУ</t>
  </si>
  <si>
    <t>Тысячный.jpg</t>
  </si>
  <si>
    <t>https://vk.com/aestlate</t>
  </si>
  <si>
    <t>Тысячный Никита</t>
  </si>
  <si>
    <t>Институт управления в экономических, экологических и социальных системах</t>
  </si>
  <si>
    <t>ИУЭС</t>
  </si>
  <si>
    <t>Мамонтова.jpg</t>
  </si>
  <si>
    <t>https://vk.com/tatissha</t>
  </si>
  <si>
    <t>Мамонтова Татьяна</t>
  </si>
  <si>
    <t>Институт филологии, журналистики и межкультурной коммуникации</t>
  </si>
  <si>
    <t>ИФЖиМКК</t>
  </si>
  <si>
    <t>Shepeleva_FFJ.jpg</t>
  </si>
  <si>
    <t>Шепелева Маргарита</t>
  </si>
  <si>
    <t>с апреля 2022 г.</t>
  </si>
  <si>
    <t>Институт философии и социально-политических наук</t>
  </si>
  <si>
    <t>ИФиСПН</t>
  </si>
  <si>
    <t>Зеленкова.jpg</t>
  </si>
  <si>
    <t>https://vk.com/anastasi_z</t>
  </si>
  <si>
    <t>Зеленкова Анастасия</t>
  </si>
  <si>
    <t>и.о. с марта 2023 г.</t>
  </si>
  <si>
    <t>Международный институт междисциплинарного образования и иберо-американских исследований</t>
  </si>
  <si>
    <t>МИМДО</t>
  </si>
  <si>
    <t>Диговцова.jpg</t>
  </si>
  <si>
    <t>https://vk.com/alena_kovzhoga</t>
  </si>
  <si>
    <t>Диговцова Алена</t>
  </si>
  <si>
    <t>ФБ Капитаны</t>
  </si>
  <si>
    <t>Денисенко.jpg</t>
  </si>
  <si>
    <t>https://vk.com/sekretnick</t>
  </si>
  <si>
    <t>Денисенко Никита</t>
  </si>
  <si>
    <t>Факультет управления</t>
  </si>
  <si>
    <t>ФУП</t>
  </si>
  <si>
    <t>FUP-Antipova.jpg</t>
  </si>
  <si>
    <t>https://vk.com/idkaramelka06</t>
  </si>
  <si>
    <t>Антипова Анна</t>
  </si>
  <si>
    <t>с сентября 2021 г.</t>
  </si>
  <si>
    <t>Факультет физический</t>
  </si>
  <si>
    <t>ФФ</t>
  </si>
  <si>
    <t>Факультет химический</t>
  </si>
  <si>
    <t>ХФ</t>
  </si>
  <si>
    <t>https://vk.com/id360141256</t>
  </si>
  <si>
    <t>Чижиков Глеб</t>
  </si>
  <si>
    <t>Факультет экономический</t>
  </si>
  <si>
    <t>ЭФ</t>
  </si>
  <si>
    <t>Кособокова.jpg</t>
  </si>
  <si>
    <t>https://vk.com/valeriyakosobokova</t>
  </si>
  <si>
    <t>Кособокова Валерия</t>
  </si>
  <si>
    <t>с декабря 2022 г.</t>
  </si>
  <si>
    <t>Факультет юридический</t>
  </si>
  <si>
    <t>ЮФ</t>
  </si>
  <si>
    <t>Strelnikova_LF.jpg</t>
  </si>
  <si>
    <t>https://vk.com/strelaaaaaa</t>
  </si>
  <si>
    <t>с мая 2022 г.</t>
  </si>
  <si>
    <t>Филиал в г. Новошахтинск</t>
  </si>
  <si>
    <t>Новошахтинск</t>
  </si>
  <si>
    <t>Cibina_NVSH.jpg</t>
  </si>
  <si>
    <t>https://vk.com/trouble_aaa</t>
  </si>
  <si>
    <t>Цыбина Алина</t>
  </si>
  <si>
    <t>с сентября 2022 г.</t>
  </si>
  <si>
    <t>Председатель Объединенного совета обучающихся</t>
  </si>
  <si>
    <t>https://vk.com/elsh26</t>
  </si>
  <si>
    <t>Шкурат Елизавета</t>
  </si>
  <si>
    <t>+7 (951) 522-10-58</t>
  </si>
  <si>
    <t>https://vk.com/piy_piiy</t>
  </si>
  <si>
    <t>Моисеенко Екатерина</t>
  </si>
  <si>
    <t>+7 (918) 123-42-16</t>
  </si>
  <si>
    <t>Руководитель аппарата&lt;br&gt;&lt;br&gt;&lt;br&gt;</t>
  </si>
  <si>
    <t>https://vk.com/marikorobkina</t>
  </si>
  <si>
    <t>Коробкина Мария</t>
  </si>
  <si>
    <t>с августа 2021 г.</t>
  </si>
  <si>
    <t>+7 (928) 750-97-37</t>
  </si>
  <si>
    <t>Заместитель по работе со студенческими советами СП г. Ростов-на-Дону</t>
  </si>
  <si>
    <t>https://vk.com/a.gazakova</t>
  </si>
  <si>
    <t>Газакова Анна</t>
  </si>
  <si>
    <t>с февраля 2023 г.</t>
  </si>
  <si>
    <t>+7 (909) 407-16-03</t>
  </si>
  <si>
    <t>Заместитель по работе со студенческими советами СП г. Таганрог</t>
  </si>
  <si>
    <t>+7 (988) 930-66-57</t>
  </si>
  <si>
    <t>Заместитель по работе с внешними организациями</t>
  </si>
  <si>
    <t>https://vk.com/mariazb</t>
  </si>
  <si>
    <t>Завадская Мария</t>
  </si>
  <si>
    <t>+7 (988) 259-51-39</t>
  </si>
  <si>
    <t>Заместитель по проектной деятельности</t>
  </si>
  <si>
    <t>https://vk.com/iqueue</t>
  </si>
  <si>
    <t>Васильев Алексей</t>
  </si>
  <si>
    <t>+7 (928) 191-46-48</t>
  </si>
  <si>
    <t>Заместитель по научной и исследовательской деятельности</t>
  </si>
  <si>
    <t>Зам. по научной и исследовательской деятельности</t>
  </si>
  <si>
    <t>с июля 2022 г.</t>
  </si>
  <si>
    <t>Первый заместитель&lt;br&gt;&lt;br&gt;&lt;br&gt;</t>
  </si>
  <si>
    <t>Заместитель по работе со студсоветами СП г. Ростов-на-Дону</t>
  </si>
  <si>
    <t>Заместитель по работе со студсоветами СП г. Таганрог</t>
  </si>
  <si>
    <t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</t>
  </si>
  <si>
    <t>Председатель ОСО и заместители</t>
  </si>
  <si>
    <t>Председатели студенческих советов структурных подразделений</t>
  </si>
  <si>
    <t>Руководители студенческих объединений</t>
  </si>
  <si>
    <t>Раздел</t>
  </si>
  <si>
    <t>Содержание раздела</t>
  </si>
  <si>
    <t>Код раздела</t>
  </si>
  <si>
    <t>ИТОГ</t>
  </si>
  <si>
    <t>ИТСКИ</t>
  </si>
  <si>
    <t>Институт туризма, сервиса и креативных индустрий</t>
  </si>
  <si>
    <t>ЛИИ</t>
  </si>
  <si>
    <t>Факультет бизнеса Капитаны</t>
  </si>
  <si>
    <t>Shkurat_ABiB.jpg</t>
  </si>
  <si>
    <t>Korobkina_Presidium.jpg</t>
  </si>
  <si>
    <t>Gazakova_IIMO.jpg</t>
  </si>
  <si>
    <t>Завадская.jpg</t>
  </si>
  <si>
    <t>Васильев.jpg</t>
  </si>
  <si>
    <t>Chizikov.png</t>
  </si>
  <si>
    <t>Якунина_0.jpg</t>
  </si>
  <si>
    <t>Ларина Софья</t>
  </si>
  <si>
    <t>https://vk.com/ya.sofi</t>
  </si>
  <si>
    <t>и.о. с июня 2023 г.</t>
  </si>
  <si>
    <t>Larina.jpg</t>
  </si>
  <si>
    <t>и.о. с мая 2023 г.</t>
  </si>
  <si>
    <t xml:space="preserve">+7 (908) 198-05-23 </t>
  </si>
  <si>
    <t xml:space="preserve">+7 (903) 422-83-14 </t>
  </si>
  <si>
    <t xml:space="preserve">+7 (951) 833-63-01 </t>
  </si>
  <si>
    <t>+7 (918) 501-05-17</t>
  </si>
  <si>
    <t>+7 (988) 545-71-99</t>
  </si>
  <si>
    <t xml:space="preserve">+7 (988) 545-71-99 </t>
  </si>
  <si>
    <t xml:space="preserve">+7 (989) 703-11-29 </t>
  </si>
  <si>
    <t xml:space="preserve">+7 (988) 930-66-57 </t>
  </si>
  <si>
    <t>+7 (904) 500-46-53</t>
  </si>
  <si>
    <t>+7 (925) 856-75-16</t>
  </si>
  <si>
    <t>+7 (918) 638-85-15</t>
  </si>
  <si>
    <t xml:space="preserve">+7 (988) 560-90-06 </t>
  </si>
  <si>
    <t xml:space="preserve">+7 (918) 648-94-31 </t>
  </si>
  <si>
    <t>+7 (918) 241-42-92</t>
  </si>
  <si>
    <t xml:space="preserve">+7 (928) 212-37-76 </t>
  </si>
  <si>
    <t xml:space="preserve">+7 (988) 990-03-47 </t>
  </si>
  <si>
    <t>+7 (938) 161-24-35</t>
  </si>
  <si>
    <t xml:space="preserve">+7 (928) 265-25-96 </t>
  </si>
  <si>
    <t xml:space="preserve">+7 (962) 303-73-14 </t>
  </si>
  <si>
    <t xml:space="preserve">+7 (961) 414-16-90 </t>
  </si>
  <si>
    <t xml:space="preserve">+7 (988) 583-63-58 </t>
  </si>
  <si>
    <t>+7 (908) 506-12-16</t>
  </si>
  <si>
    <t>+7 (928) 603-77-72</t>
  </si>
  <si>
    <t xml:space="preserve">+7 (908) 184-97-59 </t>
  </si>
  <si>
    <t>&lt;arn&gt;Стрельникова Татьяна&lt;/arn&gt;</t>
  </si>
  <si>
    <t>&lt;arn&gt;Шинкаренко Виолетта&lt;/arn&gt;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</si>
</sst>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1" xfId="0" applyBorder="1" applyAlignment="1">
      <alignment wrapText="1"/>
    </xf>
    <xf numFmtId="0" fontId="3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oso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so2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oso3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untitled text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fedu.ru/files/upload/sts/70267/Chizikov.png" TargetMode="External"/><Relationship Id="rId1" Type="http://schemas.openxmlformats.org/officeDocument/2006/relationships/hyperlink" Target="https://vk.com/ya.sofi" TargetMode="External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7"/>
  <sheetViews>
    <sheetView workbookViewId="0">
      <selection activeCell="B18" sqref="B18"/>
    </sheetView>
  </sheetViews>
  <sheetFormatPr defaultRowHeight="15.75" x14ac:dyDescent="0.25"/>
  <cols>
    <col min="1" max="1" width="58.875" customWidth="1"/>
    <col min="2" max="2" width="35.375" customWidth="1"/>
    <col min="3" max="3" width="33.375" style="4" customWidth="1"/>
  </cols>
  <sheetData>
    <row r="1" spans="1:3" s="5" customFormat="1" x14ac:dyDescent="0.25">
      <c r="A1" s="5" t="s">
        <v>263</v>
      </c>
      <c r="B1" s="5" t="s">
        <v>264</v>
      </c>
      <c r="C1" s="6" t="s">
        <v>265</v>
      </c>
    </row>
    <row r="2" spans="1:3" ht="15" customHeight="1" x14ac:dyDescent="0.25">
      <c r="B2" s="4" t="s">
        <v>259</v>
      </c>
      <c r="C2" s="4" t="str">
        <f>IF(ISBLANK(A2),B2,"&lt;h2&gt;"&amp;A2&amp;"&lt;/h2&gt;"&amp;CHAR(10)&amp;B2)</f>
        <v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</v>
      </c>
    </row>
    <row r="3" spans="1:3" ht="15" customHeight="1" x14ac:dyDescent="0.25">
      <c r="A3" t="s">
        <v>260</v>
      </c>
      <c r="B3" t="str">
        <f>"&lt;div class=""__yg-wrapper""&gt;
    "&amp;СЦЕПИТЬДИАПАЗОН('Председатель ОСО и заместители'!H2:H9,CHAR(10)&amp;CHAR(10))&amp;CHAR(10)&amp;"&lt;/div&gt;"</f>
        <v>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</v>
      </c>
      <c r="C3" s="4" t="str">
        <f>IF(ISBLANK(A3),B3,"&lt;h2&gt;"&amp;A3&amp;"&lt;/h2&gt;"&amp;CHAR(10)&amp;B3)</f>
        <v>&lt;h2&gt;Председатель ОСО и заместители&lt;/h2&gt;
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</v>
      </c>
    </row>
    <row r="4" spans="1:3" ht="15" customHeight="1" x14ac:dyDescent="0.25">
      <c r="A4" t="s">
        <v>261</v>
      </c>
      <c r="B4" t="str">
        <f>"&lt;div class=""__yg-wrapper""&gt;
    "&amp;СЦЕПИТЬДИАПАЗОН('Председатели СО СП'!H2:H25,CHAR(10)&amp;CHAR(10))&amp;CHAR(10)&amp;"&lt;/div&gt;"</f>
        <v>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href="tel:+7(908)198-05-23"&gt;+7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href="tel:+7(903)422-83-14"&gt;+7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href="tel:+7(951)833-63-01"&gt;+7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href="tel:+7(918)501-05-17"&gt;+7 (918) 501-05-17&lt;/a&gt;&lt;/p&gt;
	&lt;/div&gt;
&lt;/div&gt;
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href="tel:+7(988)545-71-99"&gt;+7 (988) 545-71-99&lt;/a&gt;&lt;/p&gt;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href="tel:+7(988)545-71-99"&gt;+7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href="tel:+7(989)703-11-29"&gt;+7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href="tel:+7(904)500-46-53"&gt;+7 (904) 500-46-53&lt;/a&gt;&lt;/p&gt;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href="tel:+7(925)856-75-16"&gt;+7 (925) 856-75-16&lt;/a&gt;&lt;/p&gt;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href="tel:+7(918)638-85-15"&gt;+7 (918) 638-85-15&lt;/a&gt;&lt;/p&gt;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href="tel:+7(988)560-90-06"&gt;+7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href="tel:+7(918)648-94-31"&gt;+7 (918) 648-94-31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href="tel:+7(918)241-42-92"&gt;+7 (918) 241-42-92&lt;/a&gt;&lt;/p&gt;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href="tel:+7(928)212-37-76"&gt;+7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href="tel:+7(988)990-03-47"&gt;+7 (988) 990-03-47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href="tel:+7(938)161-24-35"&gt;+7 (938) 161-24-35&lt;/a&gt;&lt;/p&gt;
	&lt;/div&gt;
&lt;/div&gt;
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href="tel:+7(928)265-25-96"&gt;+7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href="tel:+7(962)303-73-14"&gt;+7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href="tel:+7(961)414-16-90"&gt;+7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href="tel:+7(988)583-63-58"&gt;+7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href="tel:+7(908)506-12-16"&gt;+7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href="https://vk.com/strelaaaaaa"&gt;&lt;arn&gt;Стрельникова Татьяна&lt;/arn&gt;&lt;/a&gt;&lt;/strong&gt;&lt;/p&gt;
		&lt;hr/&gt;
		&lt;p&gt;&lt;strong&gt;Срок полномочий:&lt;/strong&gt;&lt;br/&gt;
			с мая 2022 г.&lt;/p&gt;
		&lt;p&gt;&lt;strong&gt;Телефон:&lt;/strong&gt;&lt;br/&gt;
			&lt;a href="tel:+7(928)603-77-72"&gt;+7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href="tel:+7(908)184-97-59"&gt;+7 (908) 184-97-59 &lt;/a&gt;&lt;/p&gt;
	&lt;/div&gt;
&lt;/div&gt;
&lt;/div&gt;</v>
      </c>
      <c r="C4" s="4" t="str">
        <f t="shared" ref="C4:C6" si="0">IF(ISBLANK(A4),B4,"&lt;h2&gt;"&amp;A4&amp;"&lt;/h2&gt;"&amp;CHAR(10)&amp;B4)</f>
        <v>&lt;h2&gt;Председатели студенческих советов структурных подразделений&lt;/h2&gt;
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href="tel:+7(908)198-05-23"&gt;+7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href="tel:+7(903)422-83-14"&gt;+7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href="tel:+7(951)833-63-01"&gt;+7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href="tel:+7(918)501-05-17"&gt;+7 (918) 501-05-17&lt;/a&gt;&lt;/p&gt;
	&lt;/div&gt;
&lt;/div&gt;
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href="tel:+7(988)545-71-99"&gt;+7 (988) 545-71-99&lt;/a&gt;&lt;/p&gt;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href="tel:+7(988)545-71-99"&gt;+7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href="tel:+7(989)703-11-29"&gt;+7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href="tel:+7(904)500-46-53"&gt;+7 (904) 500-46-53&lt;/a&gt;&lt;/p&gt;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href="tel:+7(925)856-75-16"&gt;+7 (925) 856-75-16&lt;/a&gt;&lt;/p&gt;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href="tel:+7(918)638-85-15"&gt;+7 (918) 638-85-15&lt;/a&gt;&lt;/p&gt;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href="tel:+7(988)560-90-06"&gt;+7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href="tel:+7(918)648-94-31"&gt;+7 (918) 648-94-31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href="tel:+7(918)241-42-92"&gt;+7 (918) 241-42-92&lt;/a&gt;&lt;/p&gt;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href="tel:+7(928)212-37-76"&gt;+7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href="tel:+7(988)990-03-47"&gt;+7 (988) 990-03-47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href="tel:+7(938)161-24-35"&gt;+7 (938) 161-24-35&lt;/a&gt;&lt;/p&gt;
	&lt;/div&gt;
&lt;/div&gt;
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href="tel:+7(928)265-25-96"&gt;+7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href="tel:+7(962)303-73-14"&gt;+7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href="tel:+7(961)414-16-90"&gt;+7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href="tel:+7(988)583-63-58"&gt;+7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href="tel:+7(908)506-12-16"&gt;+7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href="https://vk.com/strelaaaaaa"&gt;&lt;arn&gt;Стрельникова Татьяна&lt;/arn&gt;&lt;/a&gt;&lt;/strong&gt;&lt;/p&gt;
		&lt;hr/&gt;
		&lt;p&gt;&lt;strong&gt;Срок полномочий:&lt;/strong&gt;&lt;br/&gt;
			с мая 2022 г.&lt;/p&gt;
		&lt;p&gt;&lt;strong&gt;Телефон:&lt;/strong&gt;&lt;br/&gt;
			&lt;a href="tel:+7(928)603-77-72"&gt;+7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href="tel:+7(908)184-97-59"&gt;+7 (908) 184-97-59 &lt;/a&gt;&lt;/p&gt;
	&lt;/div&gt;
&lt;/div&gt;
&lt;/div&gt;</v>
      </c>
    </row>
    <row r="5" spans="1:3" ht="15" customHeight="1" x14ac:dyDescent="0.25">
      <c r="A5" t="s">
        <v>262</v>
      </c>
      <c r="B5" t="str">
        <f>"&lt;div class=""__yg-wrapper""&gt;
    "&amp;СЦЕПИТЬДИАПАЗОН('Руководители студобъединений'!H2:H18,CHAR(10)&amp;CHAR(10))&amp;CHAR(10)&amp;"&lt;/div&gt;"</f>
        <v>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href="https://vk.com/vet_ochka"&gt;&lt;arn&gt;Шинкаренко Виолетта&lt;/arn&gt;&lt;/a&gt;&lt;/strong&gt;&lt;/p&gt;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</v>
      </c>
      <c r="C5" s="4" t="str">
        <f t="shared" si="0"/>
        <v>&lt;h2&gt;Руководители студенческих объединений&lt;/h2&gt;
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href="https://vk.com/vet_ochka"&gt;&lt;arn&gt;Шинкаренко Виолетта&lt;/arn&gt;&lt;/a&gt;&lt;/strong&gt;&lt;/p&gt;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</v>
      </c>
    </row>
    <row r="6" spans="1:3" ht="15" customHeight="1" x14ac:dyDescent="0.25">
      <c r="B6" s="4" t="str">
        <f ca="1">"&lt;p&gt;&lt;a href=""https://vk.com/sic_mmcs"" title=""Раздел сайта разработан студенческим советом мехмата""&gt;&lt;img height=""30"""&amp;"
                                                                                                       src=""/files/upload/sts/70267/mexmat.png""/&gt;&lt;/a&gt;
    &amp;copy;"&amp;YEAR(TODAY())&amp;"&lt;/p&gt;"</f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  <c r="C6" s="4" t="str">
        <f t="shared" ca="1" si="0"/>
        <v>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7" spans="1:3" ht="15" customHeight="1" x14ac:dyDescent="0.25"/>
    <row r="8" spans="1:3" ht="15" customHeight="1" x14ac:dyDescent="0.25"/>
    <row r="9" spans="1:3" ht="15" customHeight="1" x14ac:dyDescent="0.25"/>
    <row r="10" spans="1:3" ht="15" customHeight="1" x14ac:dyDescent="0.25"/>
    <row r="11" spans="1:3" ht="15" customHeight="1" thickBot="1" x14ac:dyDescent="0.3"/>
    <row r="12" spans="1:3" ht="15" customHeight="1" thickBot="1" x14ac:dyDescent="0.3">
      <c r="A12" s="5" t="s">
        <v>266</v>
      </c>
      <c r="C12" s="7" t="str">
        <f ca="1">СЦЕПИТЬДИАПАЗОН(C2:C11,CHAR(10)&amp;CHAR(10 ))</f>
        <v>&lt;style type="text/css"&gt;.__yg-wrapper {
    display: flex;
    flex-flow: wrap;
    font-family: Arial, Helvetica, sans-serif;
    color: #333;
}
.__yg-card {
    width: 180px;
    min-height: 200px;
    box-shadow: 0 0 8px #cccccc;
    padding: 5px;
    margin: 0 15px 5px 0;
    border-radius: 5px;
}
.__yg-card-title {
    text-align: center;
    margin-bottom: 0;
    font-size: 15px;
}
.__yg-card-photo {
    width: 180px;
    height: 250px;
    display: flex;
    justify-content: center;
    align-items: center;
}
.__yg-card-photo img {
    max-width: 100%;
    max-height: 100%;
}
.__yg-card-info {
    text-align: justify;
}
.__yg-card-info p:first-child {
    text-align: center;
    margin-block-end: initial;
}
.__yg-card-info p {
    margin-block-start: initial;
}
arn {
    font-size: 87%;
}
&lt;/style&gt;
&lt;h2&gt;Председатель ОСО и заместители&lt;/h2&gt;
&lt;div class="__yg-wrapper"&gt;
    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
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
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
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
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
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
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
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
&lt;/div&gt;
&lt;h2&gt;Председатели студенческих советов структурных подразделений&lt;/h2&gt;
&lt;div class="__yg-wrapper"&gt;
    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href="tel:+7(908)198-05-23"&gt;+7 (908) 198-05-23 &lt;/a&gt;&lt;/p&gt;
	&lt;/div&gt;
&lt;/div&gt;
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href="tel:+7(903)422-83-14"&gt;+7 (903) 422-83-14 &lt;/a&gt;&lt;/p&gt;
	&lt;/div&gt;
&lt;/div&gt;
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href="tel:+7(951)833-63-01"&gt;+7 (951) 833-63-01 &lt;/a&gt;&lt;/p&gt;
	&lt;/div&gt;
&lt;/div&gt;
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href="tel:+7(918)501-05-17"&gt;+7 (918) 501-05-17&lt;/a&gt;&lt;/p&gt;
	&lt;/div&gt;
&lt;/div&gt;
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href="tel:+7(988)545-71-99"&gt;+7 (988) 545-71-99&lt;/a&gt;&lt;/p&gt;
	&lt;/div&gt;
&lt;/div&gt;
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href="tel:+7(988)545-71-99"&gt;+7 (988) 545-71-99 &lt;/a&gt;&lt;/p&gt;
	&lt;/div&gt;
&lt;/div&gt;
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href="tel:+7(989)703-11-29"&gt;+7 (989) 703-11-29 &lt;/a&gt;&lt;/p&gt;
	&lt;/div&gt;
&lt;/div&gt;
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 &lt;/a&gt;&lt;/p&gt;
	&lt;/div&gt;
&lt;/div&gt;
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href="tel:+7(904)500-46-53"&gt;+7 (904) 500-46-53&lt;/a&gt;&lt;/p&gt;
	&lt;/div&gt;
&lt;/div&gt;
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href="tel:+7(925)856-75-16"&gt;+7 (925) 856-75-16&lt;/a&gt;&lt;/p&gt;
	&lt;/div&gt;
&lt;/div&gt;
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href="tel:+7(918)638-85-15"&gt;+7 (918) 638-85-15&lt;/a&gt;&lt;/p&gt;
	&lt;/div&gt;
&lt;/div&gt;
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href="tel:+7(988)560-90-06"&gt;+7 (988) 560-90-06 &lt;/a&gt;&lt;/p&gt;
	&lt;/div&gt;
&lt;/div&gt;
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href="tel:+7(918)648-94-31"&gt;+7 (918) 648-94-31 &lt;/a&gt;&lt;/p&gt;
	&lt;/div&gt;
&lt;/div&gt;
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href="tel:+7(918)241-42-92"&gt;+7 (918) 241-42-92&lt;/a&gt;&lt;/p&gt;
	&lt;/div&gt;
&lt;/div&gt;
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href="tel:+7(928)212-37-76"&gt;+7 (928) 212-37-76 &lt;/a&gt;&lt;/p&gt;
	&lt;/div&gt;
&lt;/div&gt;
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href="tel:+7(988)990-03-47"&gt;+7 (988) 990-03-47 &lt;/a&gt;&lt;/p&gt;
	&lt;/div&gt;
&lt;/div&gt;
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href="tel:+7(938)161-24-35"&gt;+7 (938) 161-24-35&lt;/a&gt;&lt;/p&gt;
	&lt;/div&gt;
&lt;/div&gt;
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href="tel:+7(928)265-25-96"&gt;+7 (928) 265-25-96 &lt;/a&gt;&lt;/p&gt;
	&lt;/div&gt;
&lt;/div&gt;
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href="tel:+7(962)303-73-14"&gt;+7 (962) 303-73-14 &lt;/a&gt;&lt;/p&gt;
	&lt;/div&gt;
&lt;/div&gt;
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href="tel:+7(961)414-16-90"&gt;+7 (961) 414-16-90 &lt;/a&gt;&lt;/p&gt;
	&lt;/div&gt;
&lt;/div&gt;
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href="tel:+7(988)583-63-58"&gt;+7 (988) 583-63-58 &lt;/a&gt;&lt;/p&gt;
	&lt;/div&gt;
&lt;/div&gt;
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href="tel:+7(908)506-12-16"&gt;+7 (908) 506-12-16&lt;/a&gt;&lt;/p&gt;
	&lt;/div&gt;
&lt;/div&gt;
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href="https://vk.com/strelaaaaaa"&gt;&lt;arn&gt;Стрельникова Татьяна&lt;/arn&gt;&lt;/a&gt;&lt;/strong&gt;&lt;/p&gt;
		&lt;hr/&gt;
		&lt;p&gt;&lt;strong&gt;Срок полномочий:&lt;/strong&gt;&lt;br/&gt;
			с мая 2022 г.&lt;/p&gt;
		&lt;p&gt;&lt;strong&gt;Телефон:&lt;/strong&gt;&lt;br/&gt;
			&lt;a href="tel:+7(928)603-77-72"&gt;+7 (928) 603-77-72&lt;/a&gt;&lt;/p&gt;
	&lt;/div&gt;
&lt;/div&gt;
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href="tel:+7(908)184-97-59"&gt;+7 (908) 184-97-59 &lt;/a&gt;&lt;/p&gt;
	&lt;/div&gt;
&lt;/div&gt;
&lt;/div&gt;
&lt;h2&gt;Руководители студенческих объединений&lt;/h2&gt;
&lt;div class="__yg-wrapper"&gt;
    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
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href="https://vk.com/vet_ochka"&gt;&lt;arn&gt;Шинкаренко Виолетта&lt;/arn&gt;&lt;/a&gt;&lt;/strong&gt;&lt;/p&gt;
		&lt;hr/&gt;
		&lt;p&gt;&lt;strong&gt;Телефон:&lt;/strong&gt;&lt;br/&gt;
			&lt;a href="tel:+7(988)251-56-81"&gt;+7 (988) 251-56-81 &lt;/a&gt;&lt;/p&gt;
	&lt;/div&gt;
&lt;/div&gt;
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
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
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
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
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
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
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
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
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
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
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
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
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
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
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
&lt;/div&gt;
&lt;p&gt;&lt;a href="https://vk.com/sic_mmcs" title="Раздел сайта разработан студенческим советом мехмата"&gt;&lt;img height="30"
                                                                                                       src="/files/upload/sts/70267/mexmat.png"/&gt;&lt;/a&gt;
    &amp;copy;2023&lt;/p&gt;</v>
      </c>
    </row>
    <row r="13" spans="1:3" ht="15" customHeight="1" x14ac:dyDescent="0.25"/>
    <row r="14" spans="1:3" ht="15" customHeight="1" x14ac:dyDescent="0.25"/>
    <row r="15" spans="1:3" ht="15" customHeight="1" x14ac:dyDescent="0.25"/>
    <row r="16" spans="1:3" ht="15" customHeight="1" x14ac:dyDescent="0.25"/>
    <row r="17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9"/>
  <sheetViews>
    <sheetView zoomScaleNormal="100" workbookViewId="0">
      <selection activeCell="B15" sqref="B15"/>
    </sheetView>
  </sheetViews>
  <sheetFormatPr defaultRowHeight="15.75" x14ac:dyDescent="0.25"/>
  <cols>
    <col min="1" max="1" width="64.25" customWidth="1"/>
    <col min="2" max="2" width="21.125" style="4" customWidth="1"/>
    <col min="3" max="3" width="38" bestFit="1" customWidth="1"/>
    <col min="4" max="4" width="22.75" bestFit="1" customWidth="1"/>
    <col min="5" max="5" width="20.125" bestFit="1" customWidth="1"/>
    <col min="6" max="6" width="18.25" bestFit="1" customWidth="1"/>
    <col min="7" max="7" width="16.5" bestFit="1" customWidth="1"/>
    <col min="8" max="8" width="25.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47.25" x14ac:dyDescent="0.25">
      <c r="B2" s="4" t="s">
        <v>226</v>
      </c>
      <c r="C2" t="s">
        <v>271</v>
      </c>
      <c r="D2" t="s">
        <v>227</v>
      </c>
      <c r="E2" t="s">
        <v>228</v>
      </c>
      <c r="F2" t="s">
        <v>116</v>
      </c>
      <c r="G2" t="s">
        <v>229</v>
      </c>
      <c r="H2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title=""&gt;&lt;strong&gt;Председатель Объединенного совета обучающихся&lt;/strong&gt;
	&lt;/div&gt;
	&lt;div class="__yg-card-photo"&gt;&lt;img src="/files/upload/sts/70267/Shkurat_ABiB.jpg"/&gt;&lt;/div&gt;
	&lt;div class="__yg-card-info"&gt;
		&lt;p&gt;&lt;strong&gt;&lt;a href="https://vk.com/elsh26"&gt;Шкурат Елизавета&lt;/a&gt;&lt;/strong&gt;&lt;/p&gt;
		&lt;hr/&gt;
		&lt;p&gt;&lt;strong&gt;Срок полномочий:&lt;/strong&gt;&lt;br/&gt;
			с октября 2022 г.&lt;/p&gt;
		&lt;p&gt;&lt;strong&gt;Телефон:&lt;/strong&gt;&lt;br/&gt;
			&lt;a href="tel:+7(951)522-10-58"&gt;+7 (951) 522-10-58&lt;/a&gt;&lt;/p&gt;
	&lt;/div&gt;
&lt;/div&gt;</v>
      </c>
    </row>
    <row r="3" spans="1:8" ht="47.25" x14ac:dyDescent="0.25">
      <c r="B3" s="4" t="s">
        <v>256</v>
      </c>
      <c r="C3" t="s">
        <v>134</v>
      </c>
      <c r="D3" t="s">
        <v>230</v>
      </c>
      <c r="E3" t="s">
        <v>231</v>
      </c>
      <c r="F3" t="s">
        <v>116</v>
      </c>
      <c r="G3" t="s">
        <v>232</v>
      </c>
      <c r="H3" t="str">
        <f t="shared" ref="H3:H9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title=""&gt;&lt;strong&gt;Первый заместитель&lt;br&gt;&lt;br&gt;&lt;br&gt;&lt;/strong&gt;
	&lt;/div&gt;
	&lt;div class="__yg-card-photo"&gt;&lt;img src="/files/upload/sts/70267/Moiseenko_FVT.jpg"/&gt;&lt;/div&gt;
	&lt;div class="__yg-card-info"&gt;
		&lt;p&gt;&lt;strong&gt;&lt;a href="https://vk.com/piy_piiy"&gt;Моисеенко Екатерина&lt;/a&gt;&lt;/strong&gt;&lt;/p&gt;
		&lt;hr/&gt;
		&lt;p&gt;&lt;strong&gt;Срок полномочий:&lt;/strong&gt;&lt;br/&gt;
			с октября 2022 г.&lt;/p&gt;
		&lt;p&gt;&lt;strong&gt;Телефон:&lt;/strong&gt;&lt;br/&gt;
			&lt;a href="tel:+7(918)123-42-16"&gt;+7 (918) 123-42-16&lt;/a&gt;&lt;/p&gt;
	&lt;/div&gt;
&lt;/div&gt;</v>
      </c>
    </row>
    <row r="4" spans="1:8" ht="31.5" x14ac:dyDescent="0.25">
      <c r="B4" s="4" t="s">
        <v>233</v>
      </c>
      <c r="C4" t="s">
        <v>272</v>
      </c>
      <c r="D4" t="s">
        <v>234</v>
      </c>
      <c r="E4" t="s">
        <v>235</v>
      </c>
      <c r="F4" t="s">
        <v>236</v>
      </c>
      <c r="G4" t="s">
        <v>237</v>
      </c>
      <c r="H4" t="str">
        <f t="shared" si="0"/>
        <v>&lt;div class="__yg-card"&gt;
	&lt;div class="__yg-card-title" title=""&gt;&lt;strong&gt;Руководитель аппарата&lt;br&gt;&lt;br&gt;&lt;br&gt;&lt;/strong&gt;
	&lt;/div&gt;
	&lt;div class="__yg-card-photo"&gt;&lt;img src="/files/upload/sts/70267/Korobkina_Presidium.jpg"/&gt;&lt;/div&gt;
	&lt;div class="__yg-card-info"&gt;
		&lt;p&gt;&lt;strong&gt;&lt;a href="https://vk.com/marikorobkina"&gt;Коробкина Мария&lt;/a&gt;&lt;/strong&gt;&lt;/p&gt;
		&lt;hr/&gt;
		&lt;p&gt;&lt;strong&gt;Срок полномочий:&lt;/strong&gt;&lt;br/&gt;
			с августа 2021 г.&lt;/p&gt;
		&lt;p&gt;&lt;strong&gt;Телефон:&lt;/strong&gt;&lt;br/&gt;
			&lt;a href="tel:+7(928)750-97-37"&gt;+7 (928) 750-97-37&lt;/a&gt;&lt;/p&gt;
	&lt;/div&gt;
&lt;/div&gt;</v>
      </c>
    </row>
    <row r="5" spans="1:8" ht="47.25" x14ac:dyDescent="0.25">
      <c r="A5" t="s">
        <v>238</v>
      </c>
      <c r="B5" s="4" t="s">
        <v>257</v>
      </c>
      <c r="C5" t="s">
        <v>273</v>
      </c>
      <c r="D5" t="s">
        <v>239</v>
      </c>
      <c r="E5" t="s">
        <v>240</v>
      </c>
      <c r="F5" t="s">
        <v>241</v>
      </c>
      <c r="G5" t="s">
        <v>242</v>
      </c>
      <c r="H5" t="str">
        <f t="shared" si="0"/>
        <v>&lt;div class="__yg-card"&gt;
	&lt;div class="__yg-card-title" title="Заместитель по работе со студенческими советами СП г. Ростов-на-Дону"&gt;&lt;strong&gt;Заместитель по работе со студсоветами СП г. Ростов-на-Дону&lt;/strong&gt;
	&lt;/div&gt;
	&lt;div class="__yg-card-photo"&gt;&lt;img src="/files/upload/sts/70267/Gazakova_IIMO.jpg"/&gt;&lt;/div&gt;
	&lt;div class="__yg-card-info"&gt;
		&lt;p&gt;&lt;strong&gt;&lt;a href="https://vk.com/a.gazakova"&gt;Газакова Анна&lt;/a&gt;&lt;/strong&gt;&lt;/p&gt;
		&lt;hr/&gt;
		&lt;p&gt;&lt;strong&gt;Срок полномочий:&lt;/strong&gt;&lt;br/&gt;
			с февраля 2023 г.&lt;/p&gt;
		&lt;p&gt;&lt;strong&gt;Телефон:&lt;/strong&gt;&lt;br/&gt;
			&lt;a href="tel:+7(909)407-16-03"&gt;+7 (909) 407-16-03&lt;/a&gt;&lt;/p&gt;
	&lt;/div&gt;
&lt;/div&gt;</v>
      </c>
    </row>
    <row r="6" spans="1:8" ht="47.25" x14ac:dyDescent="0.25">
      <c r="A6" t="s">
        <v>243</v>
      </c>
      <c r="B6" s="4" t="s">
        <v>258</v>
      </c>
      <c r="C6" t="s">
        <v>144</v>
      </c>
      <c r="D6" t="s">
        <v>145</v>
      </c>
      <c r="E6" t="s">
        <v>146</v>
      </c>
      <c r="F6" t="s">
        <v>116</v>
      </c>
      <c r="G6" t="s">
        <v>244</v>
      </c>
      <c r="H6" t="str">
        <f t="shared" si="0"/>
        <v>&lt;div class="__yg-card"&gt;
	&lt;div class="__yg-card-title" title="Заместитель по работе со студенческими советами СП г. Таганрог"&gt;&lt;strong&gt;Заместитель по работе со студсоветами СП г. Таганрог&lt;/strong&gt;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930-66-57&lt;/a&gt;&lt;/p&gt;
	&lt;/div&gt;
&lt;/div&gt;</v>
      </c>
    </row>
    <row r="7" spans="1:8" ht="47.25" x14ac:dyDescent="0.25">
      <c r="B7" s="4" t="s">
        <v>245</v>
      </c>
      <c r="C7" t="s">
        <v>274</v>
      </c>
      <c r="D7" t="s">
        <v>246</v>
      </c>
      <c r="E7" t="s">
        <v>247</v>
      </c>
      <c r="F7" t="s">
        <v>116</v>
      </c>
      <c r="G7" t="s">
        <v>248</v>
      </c>
      <c r="H7" t="str">
        <f t="shared" si="0"/>
        <v>&lt;div class="__yg-card"&gt;
	&lt;div class="__yg-card-title" title=""&gt;&lt;strong&gt;Заместитель по работе с внешними организациями&lt;/strong&gt;
	&lt;/div&gt;
	&lt;div class="__yg-card-photo"&gt;&lt;img src="/files/upload/sts/70267/Завадская.jpg"/&gt;&lt;/div&gt;
	&lt;div class="__yg-card-info"&gt;
		&lt;p&gt;&lt;strong&gt;&lt;a href="https://vk.com/mariazb"&gt;Завадская Мария&lt;/a&gt;&lt;/strong&gt;&lt;/p&gt;
		&lt;hr/&gt;
		&lt;p&gt;&lt;strong&gt;Срок полномочий:&lt;/strong&gt;&lt;br/&gt;
			с октября 2022 г.&lt;/p&gt;
		&lt;p&gt;&lt;strong&gt;Телефон:&lt;/strong&gt;&lt;br/&gt;
			&lt;a href="tel:+7(988)259-51-39"&gt;+7 (988) 259-51-39&lt;/a&gt;&lt;/p&gt;
	&lt;/div&gt;
&lt;/div&gt;</v>
      </c>
    </row>
    <row r="8" spans="1:8" ht="47.25" x14ac:dyDescent="0.25">
      <c r="B8" s="4" t="s">
        <v>249</v>
      </c>
      <c r="C8" t="s">
        <v>275</v>
      </c>
      <c r="D8" t="s">
        <v>250</v>
      </c>
      <c r="E8" t="s">
        <v>251</v>
      </c>
      <c r="F8" t="s">
        <v>116</v>
      </c>
      <c r="G8" t="s">
        <v>252</v>
      </c>
      <c r="H8" t="str">
        <f t="shared" si="0"/>
        <v>&lt;div class="__yg-card"&gt;
	&lt;div class="__yg-card-title" title=""&gt;&lt;strong&gt;Заместитель по проектной деятельности&lt;/strong&gt;
	&lt;/div&gt;
	&lt;div class="__yg-card-photo"&gt;&lt;img src="/files/upload/sts/70267/Васильев.jpg"/&gt;&lt;/div&gt;
	&lt;div class="__yg-card-info"&gt;
		&lt;p&gt;&lt;strong&gt;&lt;a href="https://vk.com/iqueue"&gt;Васильев Алексей&lt;/a&gt;&lt;/strong&gt;&lt;/p&gt;
		&lt;hr/&gt;
		&lt;p&gt;&lt;strong&gt;Срок полномочий:&lt;/strong&gt;&lt;br/&gt;
			с октября 2022 г.&lt;/p&gt;
		&lt;p&gt;&lt;strong&gt;Телефон:&lt;/strong&gt;&lt;br/&gt;
			&lt;a href="tel:+7(928)191-46-48"&gt;+7 (928) 191-46-48&lt;/a&gt;&lt;/p&gt;
	&lt;/div&gt;
&lt;/div&gt;</v>
      </c>
    </row>
    <row r="9" spans="1:8" ht="47.25" x14ac:dyDescent="0.25">
      <c r="A9" t="s">
        <v>253</v>
      </c>
      <c r="B9" s="4" t="s">
        <v>254</v>
      </c>
      <c r="C9" t="s">
        <v>53</v>
      </c>
      <c r="D9" t="s">
        <v>43</v>
      </c>
      <c r="E9" t="s">
        <v>12</v>
      </c>
      <c r="F9" t="s">
        <v>255</v>
      </c>
      <c r="G9" t="s">
        <v>71</v>
      </c>
      <c r="H9" t="str">
        <f t="shared" si="0"/>
        <v>&lt;div class="__yg-card"&gt;
	&lt;div class="__yg-card-title" title="Заместитель по научной и исследовательской деятельности"&gt;&lt;strong&gt;Зам. по научной и исследовательской деятельности&lt;/strong&gt;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&lt;p&gt;&lt;strong&gt;Срок полномочий:&lt;/strong&gt;&lt;br/&gt;
			с июля 2022 г.&lt;/p&gt;
		&lt;p&gt;&lt;strong&gt;Телефон:&lt;/strong&gt;&lt;br/&gt;
			&lt;a href="tel:+7(928)602-72-07"&gt;+7 (928) 602-72-07&lt;/a&gt;&lt;/p&gt;
	&lt;/div&gt;
&lt;/div&gt;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25"/>
  <sheetViews>
    <sheetView workbookViewId="0">
      <selection activeCell="E25" sqref="E25"/>
    </sheetView>
  </sheetViews>
  <sheetFormatPr defaultColWidth="11" defaultRowHeight="15.75" x14ac:dyDescent="0.25"/>
  <cols>
    <col min="1" max="1" width="26.875" bestFit="1" customWidth="1"/>
    <col min="2" max="2" width="20.375" bestFit="1" customWidth="1"/>
    <col min="3" max="3" width="26.125" bestFit="1" customWidth="1"/>
    <col min="4" max="4" width="20" bestFit="1" customWidth="1"/>
    <col min="5" max="5" width="18.75" customWidth="1"/>
    <col min="6" max="6" width="18.25" customWidth="1"/>
    <col min="7" max="7" width="18.125" customWidth="1"/>
    <col min="8" max="8" width="33.3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15" customHeight="1" x14ac:dyDescent="0.25">
      <c r="A2" t="s">
        <v>105</v>
      </c>
      <c r="B2" t="s">
        <v>106</v>
      </c>
      <c r="C2" t="s">
        <v>107</v>
      </c>
      <c r="D2" t="s">
        <v>108</v>
      </c>
      <c r="E2" t="s">
        <v>109</v>
      </c>
      <c r="F2" t="s">
        <v>110</v>
      </c>
      <c r="G2" t="s">
        <v>283</v>
      </c>
      <c r="H2" s="4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title="Академия архитектуры и искусств"&gt;&lt;strong&gt;ААИ&lt;/strong&gt;
	&lt;/div&gt;
	&lt;div class="__yg-card-photo"&gt;&lt;img src="/files/upload/sts/70267/TA04XWWNiuM.jpg"/&gt;&lt;/div&gt;
	&lt;div class="__yg-card-info"&gt;
		&lt;p&gt;&lt;strong&gt;&lt;a href="https://vk.com/beataneverlie"&gt;Нагибина Беата&lt;/a&gt;&lt;/strong&gt;&lt;/p&gt;
		&lt;hr/&gt;
		&lt;p&gt;&lt;strong&gt;Срок полномочий:&lt;/strong&gt;&lt;br/&gt;
			с апреля 2023 г.&lt;/p&gt;
		&lt;p&gt;&lt;strong&gt;Телефон:&lt;/strong&gt;&lt;br/&gt;
			&lt;a href="tel:+7(908)198-05-23"&gt;+7 (908) 198-05-23 &lt;/a&gt;&lt;/p&gt;
	&lt;/div&gt;
&lt;/div&gt;</v>
      </c>
    </row>
    <row r="3" spans="1:8" ht="15" customHeight="1" x14ac:dyDescent="0.25">
      <c r="A3" t="s">
        <v>111</v>
      </c>
      <c r="B3" t="s">
        <v>112</v>
      </c>
      <c r="C3" t="s">
        <v>113</v>
      </c>
      <c r="D3" t="s">
        <v>114</v>
      </c>
      <c r="E3" t="s">
        <v>115</v>
      </c>
      <c r="F3" t="s">
        <v>116</v>
      </c>
      <c r="G3" t="s">
        <v>284</v>
      </c>
      <c r="H3" s="4" t="str">
        <f t="shared" ref="H3:H25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title="Академия биологии и биотехнологии"&gt;&lt;strong&gt;АБиБ&lt;/strong&gt;
	&lt;/div&gt;
	&lt;div class="__yg-card-photo"&gt;&lt;img src="/files/upload/sts/70267/Белашова.jpg"/&gt;&lt;/div&gt;
	&lt;div class="__yg-card-info"&gt;
		&lt;p&gt;&lt;strong&gt;&lt;a href="https://vk.com/leerooookk"&gt;Белашова Валерия&lt;/a&gt;&lt;/strong&gt;&lt;/p&gt;
		&lt;hr/&gt;
		&lt;p&gt;&lt;strong&gt;Срок полномочий:&lt;/strong&gt;&lt;br/&gt;
			с октября 2022 г.&lt;/p&gt;
		&lt;p&gt;&lt;strong&gt;Телефон:&lt;/strong&gt;&lt;br/&gt;
			&lt;a href="tel:+7(903)422-83-14"&gt;+7 (903) 422-83-14 &lt;/a&gt;&lt;/p&gt;
	&lt;/div&gt;
&lt;/div&gt;</v>
      </c>
    </row>
    <row r="4" spans="1:8" ht="15" customHeight="1" x14ac:dyDescent="0.25">
      <c r="A4" t="s">
        <v>117</v>
      </c>
      <c r="B4" t="s">
        <v>118</v>
      </c>
      <c r="C4" t="s">
        <v>119</v>
      </c>
      <c r="D4" t="s">
        <v>120</v>
      </c>
      <c r="E4" t="s">
        <v>121</v>
      </c>
      <c r="F4" t="s">
        <v>122</v>
      </c>
      <c r="G4" t="s">
        <v>285</v>
      </c>
      <c r="H4" s="4" t="str">
        <f t="shared" si="0"/>
        <v>&lt;div class="__yg-card"&gt;
	&lt;div class="__yg-card-title" title="Академия психологии и педагогики"&gt;&lt;strong&gt;АПиП&lt;/strong&gt;
	&lt;/div&gt;
	&lt;div class="__yg-card-photo"&gt;&lt;img src="/files/upload/sts/70267/Дробот.jpg"/&gt;&lt;/div&gt;
	&lt;div class="__yg-card-info"&gt;
		&lt;p&gt;&lt;strong&gt;&lt;a href="https://vk.com/vikadrobot"&gt;Дробот Виктория&lt;/a&gt;&lt;/strong&gt;&lt;/p&gt;
		&lt;hr/&gt;
		&lt;p&gt;&lt;strong&gt;Срок полномочий:&lt;/strong&gt;&lt;br/&gt;
			с ноября 2022 г.&lt;/p&gt;
		&lt;p&gt;&lt;strong&gt;Телефон:&lt;/strong&gt;&lt;br/&gt;
			&lt;a href="tel:+7(951)833-63-01"&gt;+7 (951) 833-63-01 &lt;/a&gt;&lt;/p&gt;
	&lt;/div&gt;
&lt;/div&gt;</v>
      </c>
    </row>
    <row r="5" spans="1:8" ht="15" customHeight="1" x14ac:dyDescent="0.25">
      <c r="A5" t="s">
        <v>123</v>
      </c>
      <c r="B5" t="s">
        <v>124</v>
      </c>
      <c r="C5" t="s">
        <v>125</v>
      </c>
      <c r="D5" t="s">
        <v>126</v>
      </c>
      <c r="E5" t="s">
        <v>127</v>
      </c>
      <c r="F5" t="s">
        <v>122</v>
      </c>
      <c r="G5" t="s">
        <v>286</v>
      </c>
      <c r="H5" s="4" t="str">
        <f t="shared" si="0"/>
        <v>&lt;div class="__yg-card"&gt;
	&lt;div class="__yg-card-title" title="Академия физической культуры и спорта"&gt;&lt;strong&gt;АФКиС&lt;/strong&gt;
	&lt;/div&gt;
	&lt;div class="__yg-card-photo"&gt;&lt;img src="/files/upload/sts/70267/Бельченко.jpg"/&gt;&lt;/div&gt;
	&lt;div class="__yg-card-info"&gt;
		&lt;p&gt;&lt;strong&gt;&lt;a href="https://vk.com/hoodie_hoodrich"&gt;Бельченко Илья&lt;/a&gt;&lt;/strong&gt;&lt;/p&gt;
		&lt;hr/&gt;
		&lt;p&gt;&lt;strong&gt;Срок полномочий:&lt;/strong&gt;&lt;br/&gt;
			с ноября 2022 г.&lt;/p&gt;
		&lt;p&gt;&lt;strong&gt;Телефон:&lt;/strong&gt;&lt;br/&gt;
			&lt;a href="tel:+7(918)501-05-17"&gt;+7 (918) 501-05-17&lt;/a&gt;&lt;/p&gt;
	&lt;/div&gt;
&lt;/div&gt;</v>
      </c>
    </row>
    <row r="6" spans="1:8" ht="15" customHeight="1" x14ac:dyDescent="0.25">
      <c r="A6" t="s">
        <v>268</v>
      </c>
      <c r="B6" t="s">
        <v>267</v>
      </c>
      <c r="C6" t="s">
        <v>128</v>
      </c>
      <c r="D6" t="s">
        <v>129</v>
      </c>
      <c r="E6" t="s">
        <v>130</v>
      </c>
      <c r="F6" t="s">
        <v>131</v>
      </c>
      <c r="G6" t="s">
        <v>287</v>
      </c>
      <c r="H6" s="4" t="str">
        <f t="shared" si="0"/>
        <v>&lt;div class="__yg-card"&gt;
	&lt;div class="__yg-card-title" title="Институт туризма, сервиса и креативных индустрий"&gt;&lt;strong&gt;ИТСКИ&lt;/strong&gt;
	&lt;/div&gt;
	&lt;div class="__yg-card-photo"&gt;&lt;img src="/files/upload/sts/70267/Шилова.jpg"/&gt;&lt;/div&gt;
	&lt;div class="__yg-card-info"&gt;
		&lt;p&gt;&lt;strong&gt;&lt;a href="https://vk.com/yu_shilovaa"&gt;Шилова Юлия&lt;/a&gt;&lt;/strong&gt;&lt;/p&gt;
		&lt;hr/&gt;
		&lt;p&gt;&lt;strong&gt;Срок полномочий:&lt;/strong&gt;&lt;br/&gt;
			с марта 2023 г.&lt;/p&gt;
		&lt;p&gt;&lt;strong&gt;Телефон:&lt;/strong&gt;&lt;br/&gt;
			&lt;a href="tel:+7(988)545-71-99"&gt;+7 (988) 545-71-99&lt;/a&gt;&lt;/p&gt;
	&lt;/div&gt;
&lt;/div&gt;</v>
      </c>
    </row>
    <row r="7" spans="1:8" ht="15" customHeight="1" x14ac:dyDescent="0.25">
      <c r="A7" t="s">
        <v>132</v>
      </c>
      <c r="B7" t="s">
        <v>133</v>
      </c>
      <c r="C7" t="s">
        <v>134</v>
      </c>
      <c r="D7" t="s">
        <v>135</v>
      </c>
      <c r="E7" t="s">
        <v>136</v>
      </c>
      <c r="F7" t="s">
        <v>116</v>
      </c>
      <c r="G7" t="s">
        <v>288</v>
      </c>
      <c r="H7" s="4" t="str">
        <f t="shared" si="0"/>
        <v>&lt;div class="__yg-card"&gt;
	&lt;div class="__yg-card-title" title="Институт высоких технологий и пьезотехники"&gt;&lt;strong&gt;ИВТиПТ&lt;/strong&gt;
	&lt;/div&gt;
	&lt;div class="__yg-card-photo"&gt;&lt;img src="/files/upload/sts/70267/Moiseenko_FVT.jpg"/&gt;&lt;/div&gt;
	&lt;div class="__yg-card-info"&gt;
		&lt;p&gt;&lt;strong&gt;&lt;a href="https://vk.com/kaytamba"&gt;Кайтамба Ален&lt;/a&gt;&lt;/strong&gt;&lt;/p&gt;
		&lt;hr/&gt;
		&lt;p&gt;&lt;strong&gt;Срок полномочий:&lt;/strong&gt;&lt;br/&gt;
			с октября 2022 г.&lt;/p&gt;
		&lt;p&gt;&lt;strong&gt;Телефон:&lt;/strong&gt;&lt;br/&gt;
			&lt;a href="tel:+7(988)545-71-99"&gt;+7 (988) 545-71-99 &lt;/a&gt;&lt;/p&gt;
	&lt;/div&gt;
&lt;/div&gt;</v>
      </c>
    </row>
    <row r="8" spans="1:8" ht="15" customHeight="1" x14ac:dyDescent="0.25">
      <c r="A8" t="s">
        <v>137</v>
      </c>
      <c r="B8" t="s">
        <v>138</v>
      </c>
      <c r="C8" t="s">
        <v>139</v>
      </c>
      <c r="D8" t="s">
        <v>140</v>
      </c>
      <c r="E8" t="s">
        <v>141</v>
      </c>
      <c r="F8" t="s">
        <v>131</v>
      </c>
      <c r="G8" t="s">
        <v>289</v>
      </c>
      <c r="H8" s="4" t="str">
        <f t="shared" si="0"/>
        <v>&lt;div class="__yg-card"&gt;
	&lt;div class="__yg-card-title" title="Институт истории и международных отношений"&gt;&lt;strong&gt;ИИМО&lt;/strong&gt;
	&lt;/div&gt;
	&lt;div class="__yg-card-photo"&gt;&lt;img src="/files/upload/sts/70267/Мартиросян.jpg"/&gt;&lt;/div&gt;
	&lt;div class="__yg-card-info"&gt;
		&lt;p&gt;&lt;strong&gt;&lt;a href="https://vk.com/borovskicha"&gt;Мартиросян Анна&lt;/a&gt;&lt;/strong&gt;&lt;/p&gt;
		&lt;hr/&gt;
		&lt;p&gt;&lt;strong&gt;Срок полномочий:&lt;/strong&gt;&lt;br/&gt;
			с марта 2023 г.&lt;/p&gt;
		&lt;p&gt;&lt;strong&gt;Телефон:&lt;/strong&gt;&lt;br/&gt;
			&lt;a href="tel:+7(989)703-11-29"&gt;+7 (989) 703-11-29 &lt;/a&gt;&lt;/p&gt;
	&lt;/div&gt;
&lt;/div&gt;</v>
      </c>
    </row>
    <row r="9" spans="1:8" ht="15" customHeight="1" x14ac:dyDescent="0.25">
      <c r="A9" t="s">
        <v>142</v>
      </c>
      <c r="B9" t="s">
        <v>143</v>
      </c>
      <c r="C9" t="s">
        <v>144</v>
      </c>
      <c r="D9" t="s">
        <v>145</v>
      </c>
      <c r="E9" t="s">
        <v>146</v>
      </c>
      <c r="F9" t="s">
        <v>116</v>
      </c>
      <c r="G9" t="s">
        <v>290</v>
      </c>
      <c r="H9" s="4" t="str">
        <f t="shared" si="0"/>
        <v>&lt;div class="__yg-card"&gt;
	&lt;div class="__yg-card-title" title="Институт компьютерных технологий и информационной безопасности"&gt;&lt;strong&gt;ИКТИБ&lt;/strong&gt;
	&lt;/div&gt;
	&lt;div class="__yg-card-photo"&gt;&lt;img src="/files/upload/sts/70267/Ahaminov_IKTIB.jpg"/&gt;&lt;/div&gt;
	&lt;div class="__yg-card-info"&gt;
		&lt;p&gt;&lt;strong&gt;&lt;a href="https://vk.com/ronov"&gt;Ахаминов Рамазан&lt;/a&gt;&lt;/strong&gt;&lt;/p&gt;
		&lt;hr/&gt;
		&lt;p&gt;&lt;strong&gt;Срок полномочий:&lt;/strong&gt;&lt;br/&gt;
			с октября 2022 г.&lt;/p&gt;
		&lt;p&gt;&lt;strong&gt;Телефон:&lt;/strong&gt;&lt;br/&gt;
			&lt;a href="tel:+7(988)930-66-57"&gt;+7 (988) 930-66-57 &lt;/a&gt;&lt;/p&gt;
	&lt;/div&gt;
&lt;/div&gt;</v>
      </c>
    </row>
    <row r="10" spans="1:8" ht="15" customHeight="1" x14ac:dyDescent="0.25">
      <c r="A10" t="s">
        <v>147</v>
      </c>
      <c r="B10" t="s">
        <v>148</v>
      </c>
      <c r="C10" t="s">
        <v>149</v>
      </c>
      <c r="D10" t="s">
        <v>150</v>
      </c>
      <c r="E10" t="s">
        <v>151</v>
      </c>
      <c r="F10" t="s">
        <v>116</v>
      </c>
      <c r="G10" t="s">
        <v>291</v>
      </c>
      <c r="H10" s="4" t="str">
        <f t="shared" si="0"/>
        <v>&lt;div class="__yg-card"&gt;
	&lt;div class="__yg-card-title" title="Институт математики, механики и компьютерных наук им. И.И. Воровича"&gt;&lt;strong&gt;ИММиКН&lt;/strong&gt;
	&lt;/div&gt;
	&lt;div class="__yg-card-photo"&gt;&lt;img src="/files/upload/sts/70267/Шевцова.jpg"/&gt;&lt;/div&gt;
	&lt;div class="__yg-card-info"&gt;
		&lt;p&gt;&lt;strong&gt;&lt;a href="https://vk.com/gull128"&gt;Шевцова Анна&lt;/a&gt;&lt;/strong&gt;&lt;/p&gt;
		&lt;hr/&gt;
		&lt;p&gt;&lt;strong&gt;Срок полномочий:&lt;/strong&gt;&lt;br/&gt;
			с октября 2022 г.&lt;/p&gt;
		&lt;p&gt;&lt;strong&gt;Телефон:&lt;/strong&gt;&lt;br/&gt;
			&lt;a href="tel:+7(904)500-46-53"&gt;+7 (904) 500-46-53&lt;/a&gt;&lt;/p&gt;
	&lt;/div&gt;
&lt;/div&gt;</v>
      </c>
    </row>
    <row r="11" spans="1:8" ht="15" customHeight="1" x14ac:dyDescent="0.25">
      <c r="A11" t="s">
        <v>152</v>
      </c>
      <c r="B11" t="s">
        <v>153</v>
      </c>
      <c r="C11" t="s">
        <v>277</v>
      </c>
      <c r="D11" t="s">
        <v>154</v>
      </c>
      <c r="E11" t="s">
        <v>155</v>
      </c>
      <c r="F11" t="s">
        <v>122</v>
      </c>
      <c r="G11" t="s">
        <v>292</v>
      </c>
      <c r="H11" s="4" t="str">
        <f t="shared" si="0"/>
        <v>&lt;div class="__yg-card"&gt;
	&lt;div class="__yg-card-title" title="Институт нанотехнологий, электроники и приборостроения"&gt;&lt;strong&gt;ИНЭП&lt;/strong&gt;
	&lt;/div&gt;
	&lt;div class="__yg-card-photo"&gt;&lt;img src="/files/upload/sts/70267/Якунина_0.jpg"/&gt;&lt;/div&gt;
	&lt;div class="__yg-card-info"&gt;
		&lt;p&gt;&lt;strong&gt;&lt;a href="https://vk.com/alzzzze"&gt;Якунина Ксения&lt;/a&gt;&lt;/strong&gt;&lt;/p&gt;
		&lt;hr/&gt;
		&lt;p&gt;&lt;strong&gt;Срок полномочий:&lt;/strong&gt;&lt;br/&gt;
			с ноября 2022 г.&lt;/p&gt;
		&lt;p&gt;&lt;strong&gt;Телефон:&lt;/strong&gt;&lt;br/&gt;
			&lt;a href="tel:+7(925)856-75-16"&gt;+7 (925) 856-75-16&lt;/a&gt;&lt;/p&gt;
	&lt;/div&gt;
&lt;/div&gt;</v>
      </c>
    </row>
    <row r="12" spans="1:8" ht="15" customHeight="1" x14ac:dyDescent="0.25">
      <c r="A12" t="s">
        <v>156</v>
      </c>
      <c r="B12" t="s">
        <v>157</v>
      </c>
      <c r="C12" t="s">
        <v>158</v>
      </c>
      <c r="D12" t="s">
        <v>159</v>
      </c>
      <c r="E12" t="s">
        <v>160</v>
      </c>
      <c r="F12" t="s">
        <v>116</v>
      </c>
      <c r="G12" t="s">
        <v>293</v>
      </c>
      <c r="H12" s="4" t="str">
        <f t="shared" si="0"/>
        <v>&lt;div class="__yg-card"&gt;
	&lt;div class="__yg-card-title" title="Институт наук о Земле"&gt;&lt;strong&gt;ИНоЗ&lt;/strong&gt;
	&lt;/div&gt;
	&lt;div class="__yg-card-photo"&gt;&lt;img src="/files/upload/sts/70267/Еременко.jpg"/&gt;&lt;/div&gt;
	&lt;div class="__yg-card-info"&gt;
		&lt;p&gt;&lt;strong&gt;&lt;a href="https://vk.com/art_eremenko"&gt;Еременко Артем&lt;/a&gt;&lt;/strong&gt;&lt;/p&gt;
		&lt;hr/&gt;
		&lt;p&gt;&lt;strong&gt;Срок полномочий:&lt;/strong&gt;&lt;br/&gt;
			с октября 2022 г.&lt;/p&gt;
		&lt;p&gt;&lt;strong&gt;Телефон:&lt;/strong&gt;&lt;br/&gt;
			&lt;a href="tel:+7(918)638-85-15"&gt;+7 (918) 638-85-15&lt;/a&gt;&lt;/p&gt;
	&lt;/div&gt;
&lt;/div&gt;</v>
      </c>
    </row>
    <row r="13" spans="1:8" ht="15" customHeight="1" x14ac:dyDescent="0.25">
      <c r="A13" t="s">
        <v>161</v>
      </c>
      <c r="B13" t="s">
        <v>162</v>
      </c>
      <c r="C13" t="s">
        <v>163</v>
      </c>
      <c r="D13" t="s">
        <v>164</v>
      </c>
      <c r="E13" t="s">
        <v>165</v>
      </c>
      <c r="F13" t="s">
        <v>166</v>
      </c>
      <c r="G13" t="s">
        <v>294</v>
      </c>
      <c r="H13" s="4" t="str">
        <f t="shared" si="0"/>
        <v>&lt;div class="__yg-card"&gt;
	&lt;div class="__yg-card-title" title="Институт социологии и регионоведения"&gt;&lt;strong&gt;ИСиР&lt;/strong&gt;
	&lt;/div&gt;
	&lt;div class="__yg-card-photo"&gt;&lt;img src="/files/upload/sts/70267/Sidorov_ISiR_1.jpg"/&gt;&lt;/div&gt;
	&lt;div class="__yg-card-info"&gt;
		&lt;p&gt;&lt;strong&gt;&lt;a href="https://vk.com/mr_yury"&gt;Сидоров Юрий&lt;/a&gt;&lt;/strong&gt;&lt;/p&gt;
		&lt;hr/&gt;
		&lt;p&gt;&lt;strong&gt;Срок полномочий:&lt;/strong&gt;&lt;br/&gt;
			с июня 2022 г.&lt;/p&gt;
		&lt;p&gt;&lt;strong&gt;Телефон:&lt;/strong&gt;&lt;br/&gt;
			&lt;a href="tel:+7(988)560-90-06"&gt;+7 (988) 560-90-06 &lt;/a&gt;&lt;/p&gt;
	&lt;/div&gt;
&lt;/div&gt;</v>
      </c>
    </row>
    <row r="14" spans="1:8" ht="15" customHeight="1" x14ac:dyDescent="0.25">
      <c r="A14" t="s">
        <v>167</v>
      </c>
      <c r="B14" t="s">
        <v>168</v>
      </c>
      <c r="C14" t="s">
        <v>169</v>
      </c>
      <c r="D14" t="s">
        <v>170</v>
      </c>
      <c r="E14" t="s">
        <v>171</v>
      </c>
      <c r="F14" t="s">
        <v>131</v>
      </c>
      <c r="G14" t="s">
        <v>295</v>
      </c>
      <c r="H14" s="4" t="str">
        <f t="shared" si="0"/>
        <v>&lt;div class="__yg-card"&gt;
	&lt;div class="__yg-card-title" title="Институт радиотехнических систем и управления"&gt;&lt;strong&gt;ИРТСУ&lt;/strong&gt;
	&lt;/div&gt;
	&lt;div class="__yg-card-photo"&gt;&lt;img src="/files/upload/sts/70267/Тысячный.jpg"/&gt;&lt;/div&gt;
	&lt;div class="__yg-card-info"&gt;
		&lt;p&gt;&lt;strong&gt;&lt;a href="https://vk.com/aestlate"&gt;Тысячный Никита&lt;/a&gt;&lt;/strong&gt;&lt;/p&gt;
		&lt;hr/&gt;
		&lt;p&gt;&lt;strong&gt;Срок полномочий:&lt;/strong&gt;&lt;br/&gt;
			с марта 2023 г.&lt;/p&gt;
		&lt;p&gt;&lt;strong&gt;Телефон:&lt;/strong&gt;&lt;br/&gt;
			&lt;a href="tel:+7(918)648-94-31"&gt;+7 (918) 648-94-31 &lt;/a&gt;&lt;/p&gt;
	&lt;/div&gt;
&lt;/div&gt;</v>
      </c>
    </row>
    <row r="15" spans="1:8" ht="15" customHeight="1" x14ac:dyDescent="0.25">
      <c r="A15" t="s">
        <v>172</v>
      </c>
      <c r="B15" t="s">
        <v>173</v>
      </c>
      <c r="C15" t="s">
        <v>174</v>
      </c>
      <c r="D15" t="s">
        <v>175</v>
      </c>
      <c r="E15" t="s">
        <v>176</v>
      </c>
      <c r="F15" t="s">
        <v>122</v>
      </c>
      <c r="G15" t="s">
        <v>296</v>
      </c>
      <c r="H15" s="4" t="str">
        <f t="shared" si="0"/>
        <v>&lt;div class="__yg-card"&gt;
	&lt;div class="__yg-card-title" title="Институт управления в экономических, экологических и социальных системах"&gt;&lt;strong&gt;ИУЭС&lt;/strong&gt;
	&lt;/div&gt;
	&lt;div class="__yg-card-photo"&gt;&lt;img src="/files/upload/sts/70267/Мамонтова.jpg"/&gt;&lt;/div&gt;
	&lt;div class="__yg-card-info"&gt;
		&lt;p&gt;&lt;strong&gt;&lt;a href="https://vk.com/tatissha"&gt;Мамонтова Татьяна&lt;/a&gt;&lt;/strong&gt;&lt;/p&gt;
		&lt;hr/&gt;
		&lt;p&gt;&lt;strong&gt;Срок полномочий:&lt;/strong&gt;&lt;br/&gt;
			с ноября 2022 г.&lt;/p&gt;
		&lt;p&gt;&lt;strong&gt;Телефон:&lt;/strong&gt;&lt;br/&gt;
			&lt;a href="tel:+7(918)241-42-92"&gt;+7 (918) 241-42-92&lt;/a&gt;&lt;/p&gt;
	&lt;/div&gt;
&lt;/div&gt;</v>
      </c>
    </row>
    <row r="16" spans="1:8" ht="15" customHeight="1" x14ac:dyDescent="0.25">
      <c r="A16" t="s">
        <v>177</v>
      </c>
      <c r="B16" t="s">
        <v>178</v>
      </c>
      <c r="C16" t="s">
        <v>179</v>
      </c>
      <c r="D16" t="s">
        <v>41</v>
      </c>
      <c r="E16" t="s">
        <v>180</v>
      </c>
      <c r="F16" t="s">
        <v>181</v>
      </c>
      <c r="G16" t="s">
        <v>297</v>
      </c>
      <c r="H16" s="4" t="str">
        <f t="shared" si="0"/>
        <v>&lt;div class="__yg-card"&gt;
	&lt;div class="__yg-card-title" title="Институт филологии, журналистики и межкультурной коммуникации"&gt;&lt;strong&gt;ИФЖиМКК&lt;/strong&gt;
	&lt;/div&gt;
	&lt;div class="__yg-card-photo"&gt;&lt;img src="/files/upload/sts/70267/Shepeleva_FFJ.jpg"/&gt;&lt;/div&gt;
	&lt;div class="__yg-card-info"&gt;
		&lt;p&gt;&lt;strong&gt;&lt;a href="https://vk.com/id78356994"&gt;Шепелева Маргарита&lt;/a&gt;&lt;/strong&gt;&lt;/p&gt;
		&lt;hr/&gt;
		&lt;p&gt;&lt;strong&gt;Срок полномочий:&lt;/strong&gt;&lt;br/&gt;
			с апреля 2022 г.&lt;/p&gt;
		&lt;p&gt;&lt;strong&gt;Телефон:&lt;/strong&gt;&lt;br/&gt;
			&lt;a href="tel:+7(928)212-37-76"&gt;+7 (928) 212-37-76 &lt;/a&gt;&lt;/p&gt;
	&lt;/div&gt;
&lt;/div&gt;</v>
      </c>
    </row>
    <row r="17" spans="1:8" ht="15" customHeight="1" x14ac:dyDescent="0.25">
      <c r="A17" t="s">
        <v>182</v>
      </c>
      <c r="B17" t="s">
        <v>183</v>
      </c>
      <c r="C17" t="s">
        <v>184</v>
      </c>
      <c r="D17" t="s">
        <v>185</v>
      </c>
      <c r="E17" t="s">
        <v>186</v>
      </c>
      <c r="F17" t="s">
        <v>187</v>
      </c>
      <c r="G17" t="s">
        <v>298</v>
      </c>
      <c r="H17" s="4" t="str">
        <f t="shared" si="0"/>
        <v>&lt;div class="__yg-card"&gt;
	&lt;div class="__yg-card-title" title="Институт философии и социально-политических наук"&gt;&lt;strong&gt;ИФиСПН&lt;/strong&gt;
	&lt;/div&gt;
	&lt;div class="__yg-card-photo"&gt;&lt;img src="/files/upload/sts/70267/Зеленкова.jpg"/&gt;&lt;/div&gt;
	&lt;div class="__yg-card-info"&gt;
		&lt;p&gt;&lt;strong&gt;&lt;a href="https://vk.com/anastasi_z"&gt;Зеленкова Анастасия&lt;/a&gt;&lt;/strong&gt;&lt;/p&gt;
		&lt;hr/&gt;
		&lt;p&gt;&lt;strong&gt;Срок полномочий:&lt;/strong&gt;&lt;br/&gt;
			и.о. с марта 2023 г.&lt;/p&gt;
		&lt;p&gt;&lt;strong&gt;Телефон:&lt;/strong&gt;&lt;br/&gt;
			&lt;a href="tel:+7(988)990-03-47"&gt;+7 (988) 990-03-47 &lt;/a&gt;&lt;/p&gt;
	&lt;/div&gt;
&lt;/div&gt;</v>
      </c>
    </row>
    <row r="18" spans="1:8" ht="15" customHeight="1" x14ac:dyDescent="0.25">
      <c r="A18" t="s">
        <v>188</v>
      </c>
      <c r="B18" t="s">
        <v>189</v>
      </c>
      <c r="C18" t="s">
        <v>190</v>
      </c>
      <c r="D18" t="s">
        <v>191</v>
      </c>
      <c r="E18" t="s">
        <v>192</v>
      </c>
      <c r="F18" t="s">
        <v>122</v>
      </c>
      <c r="G18" t="s">
        <v>299</v>
      </c>
      <c r="H18" s="4" t="str">
        <f t="shared" si="0"/>
        <v>&lt;div class="__yg-card"&gt;
	&lt;div class="__yg-card-title" title="Международный институт междисциплинарного образования и иберо-американских исследований"&gt;&lt;strong&gt;МИМДО&lt;/strong&gt;
	&lt;/div&gt;
	&lt;div class="__yg-card-photo"&gt;&lt;img src="/files/upload/sts/70267/Диговцова.jpg"/&gt;&lt;/div&gt;
	&lt;div class="__yg-card-info"&gt;
		&lt;p&gt;&lt;strong&gt;&lt;a href="https://vk.com/alena_kovzhoga"&gt;Диговцова Алена&lt;/a&gt;&lt;/strong&gt;&lt;/p&gt;
		&lt;hr/&gt;
		&lt;p&gt;&lt;strong&gt;Срок полномочий:&lt;/strong&gt;&lt;br/&gt;
			с ноября 2022 г.&lt;/p&gt;
		&lt;p&gt;&lt;strong&gt;Телефон:&lt;/strong&gt;&lt;br/&gt;
			&lt;a href="tel:+7(938)161-24-35"&gt;+7 (938) 161-24-35&lt;/a&gt;&lt;/p&gt;
	&lt;/div&gt;
&lt;/div&gt;</v>
      </c>
    </row>
    <row r="19" spans="1:8" ht="15" customHeight="1" x14ac:dyDescent="0.25">
      <c r="A19" t="s">
        <v>270</v>
      </c>
      <c r="B19" t="s">
        <v>193</v>
      </c>
      <c r="C19" t="s">
        <v>194</v>
      </c>
      <c r="D19" t="s">
        <v>195</v>
      </c>
      <c r="E19" t="s">
        <v>196</v>
      </c>
      <c r="F19" t="s">
        <v>122</v>
      </c>
      <c r="G19" t="s">
        <v>300</v>
      </c>
      <c r="H19" s="4" t="str">
        <f t="shared" si="0"/>
        <v>&lt;div class="__yg-card"&gt;
	&lt;div class="__yg-card-title" title="Факультет бизнеса Капитаны"&gt;&lt;strong&gt;ФБ Капитаны&lt;/strong&gt;
	&lt;/div&gt;
	&lt;div class="__yg-card-photo"&gt;&lt;img src="/files/upload/sts/70267/Денисенко.jpg"/&gt;&lt;/div&gt;
	&lt;div class="__yg-card-info"&gt;
		&lt;p&gt;&lt;strong&gt;&lt;a href="https://vk.com/sekretnick"&gt;Денисенко Никита&lt;/a&gt;&lt;/strong&gt;&lt;/p&gt;
		&lt;hr/&gt;
		&lt;p&gt;&lt;strong&gt;Срок полномочий:&lt;/strong&gt;&lt;br/&gt;
			с ноября 2022 г.&lt;/p&gt;
		&lt;p&gt;&lt;strong&gt;Телефон:&lt;/strong&gt;&lt;br/&gt;
			&lt;a href="tel:+7(928)265-25-96"&gt;+7 (928) 265-25-96 &lt;/a&gt;&lt;/p&gt;
	&lt;/div&gt;
&lt;/div&gt;</v>
      </c>
    </row>
    <row r="20" spans="1:8" ht="15" customHeight="1" x14ac:dyDescent="0.25">
      <c r="A20" t="s">
        <v>197</v>
      </c>
      <c r="B20" t="s">
        <v>198</v>
      </c>
      <c r="C20" t="s">
        <v>199</v>
      </c>
      <c r="D20" t="s">
        <v>200</v>
      </c>
      <c r="E20" t="s">
        <v>201</v>
      </c>
      <c r="F20" t="s">
        <v>202</v>
      </c>
      <c r="G20" t="s">
        <v>301</v>
      </c>
      <c r="H20" s="4" t="str">
        <f t="shared" si="0"/>
        <v>&lt;div class="__yg-card"&gt;
	&lt;div class="__yg-card-title" title="Факультет управления"&gt;&lt;strong&gt;ФУП&lt;/strong&gt;
	&lt;/div&gt;
	&lt;div class="__yg-card-photo"&gt;&lt;img src="/files/upload/sts/70267/FUP-Antipova.jpg"/&gt;&lt;/div&gt;
	&lt;div class="__yg-card-info"&gt;
		&lt;p&gt;&lt;strong&gt;&lt;a href="https://vk.com/idkaramelka06"&gt;Антипова Анна&lt;/a&gt;&lt;/strong&gt;&lt;/p&gt;
		&lt;hr/&gt;
		&lt;p&gt;&lt;strong&gt;Срок полномочий:&lt;/strong&gt;&lt;br/&gt;
			с сентября 2021 г.&lt;/p&gt;
		&lt;p&gt;&lt;strong&gt;Телефон:&lt;/strong&gt;&lt;br/&gt;
			&lt;a href="tel:+7(962)303-73-14"&gt;+7 (962) 303-73-14 &lt;/a&gt;&lt;/p&gt;
	&lt;/div&gt;
&lt;/div&gt;</v>
      </c>
    </row>
    <row r="21" spans="1:8" ht="15" customHeight="1" x14ac:dyDescent="0.25">
      <c r="A21" t="s">
        <v>203</v>
      </c>
      <c r="B21" t="s">
        <v>204</v>
      </c>
      <c r="C21" t="s">
        <v>281</v>
      </c>
      <c r="D21" s="8" t="s">
        <v>279</v>
      </c>
      <c r="E21" t="s">
        <v>278</v>
      </c>
      <c r="F21" t="s">
        <v>280</v>
      </c>
      <c r="G21" t="s">
        <v>302</v>
      </c>
      <c r="H21" s="4" t="str">
        <f t="shared" si="0"/>
        <v>&lt;div class="__yg-card"&gt;
	&lt;div class="__yg-card-title" title="Факультет физический"&gt;&lt;strong&gt;ФФ&lt;/strong&gt;
	&lt;/div&gt;
	&lt;div class="__yg-card-photo"&gt;&lt;img src="/files/upload/sts/70267/Larina.jpg"/&gt;&lt;/div&gt;
	&lt;div class="__yg-card-info"&gt;
		&lt;p&gt;&lt;strong&gt;&lt;a href="https://vk.com/ya.sofi"&gt;Ларина Софья&lt;/a&gt;&lt;/strong&gt;&lt;/p&gt;
		&lt;hr/&gt;
		&lt;p&gt;&lt;strong&gt;Срок полномочий:&lt;/strong&gt;&lt;br/&gt;
			и.о. с июня 2023 г.&lt;/p&gt;
		&lt;p&gt;&lt;strong&gt;Телефон:&lt;/strong&gt;&lt;br/&gt;
			&lt;a href="tel:+7(961)414-16-90"&gt;+7 (961) 414-16-90 &lt;/a&gt;&lt;/p&gt;
	&lt;/div&gt;
&lt;/div&gt;</v>
      </c>
    </row>
    <row r="22" spans="1:8" ht="15" customHeight="1" x14ac:dyDescent="0.25">
      <c r="A22" t="s">
        <v>205</v>
      </c>
      <c r="B22" t="s">
        <v>206</v>
      </c>
      <c r="C22" t="s">
        <v>276</v>
      </c>
      <c r="D22" t="s">
        <v>207</v>
      </c>
      <c r="E22" t="s">
        <v>208</v>
      </c>
      <c r="F22" t="s">
        <v>282</v>
      </c>
      <c r="G22" t="s">
        <v>303</v>
      </c>
      <c r="H22" s="4" t="str">
        <f t="shared" si="0"/>
        <v>&lt;div class="__yg-card"&gt;
	&lt;div class="__yg-card-title" title="Факультет химический"&gt;&lt;strong&gt;ХФ&lt;/strong&gt;
	&lt;/div&gt;
	&lt;div class="__yg-card-photo"&gt;&lt;img src="/files/upload/sts/70267/Chizikov.png"/&gt;&lt;/div&gt;
	&lt;div class="__yg-card-info"&gt;
		&lt;p&gt;&lt;strong&gt;&lt;a href="https://vk.com/id360141256"&gt;Чижиков Глеб&lt;/a&gt;&lt;/strong&gt;&lt;/p&gt;
		&lt;hr/&gt;
		&lt;p&gt;&lt;strong&gt;Срок полномочий:&lt;/strong&gt;&lt;br/&gt;
			и.о. с мая 2023 г.&lt;/p&gt;
		&lt;p&gt;&lt;strong&gt;Телефон:&lt;/strong&gt;&lt;br/&gt;
			&lt;a href="tel:+7(988)583-63-58"&gt;+7 (988) 583-63-58 &lt;/a&gt;&lt;/p&gt;
	&lt;/div&gt;
&lt;/div&gt;</v>
      </c>
    </row>
    <row r="23" spans="1:8" ht="15" customHeight="1" x14ac:dyDescent="0.25">
      <c r="A23" t="s">
        <v>209</v>
      </c>
      <c r="B23" t="s">
        <v>210</v>
      </c>
      <c r="C23" t="s">
        <v>211</v>
      </c>
      <c r="D23" t="s">
        <v>212</v>
      </c>
      <c r="E23" t="s">
        <v>213</v>
      </c>
      <c r="F23" t="s">
        <v>214</v>
      </c>
      <c r="G23" t="s">
        <v>304</v>
      </c>
      <c r="H23" s="4" t="str">
        <f t="shared" si="0"/>
        <v>&lt;div class="__yg-card"&gt;
	&lt;div class="__yg-card-title" title="Факультет экономический"&gt;&lt;strong&gt;ЭФ&lt;/strong&gt;
	&lt;/div&gt;
	&lt;div class="__yg-card-photo"&gt;&lt;img src="/files/upload/sts/70267/Кособокова.jpg"/&gt;&lt;/div&gt;
	&lt;div class="__yg-card-info"&gt;
		&lt;p&gt;&lt;strong&gt;&lt;a href="https://vk.com/valeriyakosobokova"&gt;Кособокова Валерия&lt;/a&gt;&lt;/strong&gt;&lt;/p&gt;
		&lt;hr/&gt;
		&lt;p&gt;&lt;strong&gt;Срок полномочий:&lt;/strong&gt;&lt;br/&gt;
			с декабря 2022 г.&lt;/p&gt;
		&lt;p&gt;&lt;strong&gt;Телефон:&lt;/strong&gt;&lt;br/&gt;
			&lt;a href="tel:+7(908)506-12-16"&gt;+7 (908) 506-12-16&lt;/a&gt;&lt;/p&gt;
	&lt;/div&gt;
&lt;/div&gt;</v>
      </c>
    </row>
    <row r="24" spans="1:8" ht="15" customHeight="1" x14ac:dyDescent="0.25">
      <c r="A24" t="s">
        <v>215</v>
      </c>
      <c r="B24" t="s">
        <v>216</v>
      </c>
      <c r="C24" t="s">
        <v>217</v>
      </c>
      <c r="D24" t="s">
        <v>218</v>
      </c>
      <c r="E24" t="s">
        <v>307</v>
      </c>
      <c r="F24" t="s">
        <v>219</v>
      </c>
      <c r="G24" t="s">
        <v>305</v>
      </c>
      <c r="H24" s="4" t="str">
        <f t="shared" si="0"/>
        <v>&lt;div class="__yg-card"&gt;
	&lt;div class="__yg-card-title" title="Факультет юридический"&gt;&lt;strong&gt;ЮФ&lt;/strong&gt;
	&lt;/div&gt;
	&lt;div class="__yg-card-photo"&gt;&lt;img src="/files/upload/sts/70267/Strelnikova_LF.jpg"/&gt;&lt;/div&gt;
	&lt;div class="__yg-card-info"&gt;
		&lt;p&gt;&lt;strong&gt;&lt;a href="https://vk.com/strelaaaaaa"&gt;&lt;arn&gt;Стрельникова Татьяна&lt;/arn&gt;&lt;/a&gt;&lt;/strong&gt;&lt;/p&gt;
		&lt;hr/&gt;
		&lt;p&gt;&lt;strong&gt;Срок полномочий:&lt;/strong&gt;&lt;br/&gt;
			с мая 2022 г.&lt;/p&gt;
		&lt;p&gt;&lt;strong&gt;Телефон:&lt;/strong&gt;&lt;br/&gt;
			&lt;a href="tel:+7(928)603-77-72"&gt;+7 (928) 603-77-72&lt;/a&gt;&lt;/p&gt;
	&lt;/div&gt;
&lt;/div&gt;</v>
      </c>
    </row>
    <row r="25" spans="1:8" ht="15" customHeight="1" x14ac:dyDescent="0.25">
      <c r="A25" t="s">
        <v>220</v>
      </c>
      <c r="B25" t="s">
        <v>221</v>
      </c>
      <c r="C25" t="s">
        <v>222</v>
      </c>
      <c r="D25" t="s">
        <v>223</v>
      </c>
      <c r="E25" t="s">
        <v>224</v>
      </c>
      <c r="F25" t="s">
        <v>225</v>
      </c>
      <c r="G25" t="s">
        <v>306</v>
      </c>
      <c r="H25" s="4" t="str">
        <f t="shared" si="0"/>
        <v>&lt;div class="__yg-card"&gt;
	&lt;div class="__yg-card-title" title="Филиал в г. Новошахтинск"&gt;&lt;strong&gt;Новошахтинск&lt;/strong&gt;
	&lt;/div&gt;
	&lt;div class="__yg-card-photo"&gt;&lt;img src="/files/upload/sts/70267/Cibina_NVSH.jpg"/&gt;&lt;/div&gt;
	&lt;div class="__yg-card-info"&gt;
		&lt;p&gt;&lt;strong&gt;&lt;a href="https://vk.com/trouble_aaa"&gt;Цыбина Алина&lt;/a&gt;&lt;/strong&gt;&lt;/p&gt;
		&lt;hr/&gt;
		&lt;p&gt;&lt;strong&gt;Срок полномочий:&lt;/strong&gt;&lt;br/&gt;
			с сентября 2022 г.&lt;/p&gt;
		&lt;p&gt;&lt;strong&gt;Телефон:&lt;/strong&gt;&lt;br/&gt;
			&lt;a href="tel:+7(908)184-97-59"&gt;+7 (908) 184-97-59 &lt;/a&gt;&lt;/p&gt;
	&lt;/div&gt;
&lt;/div&gt;</v>
      </c>
    </row>
  </sheetData>
  <hyperlinks>
    <hyperlink ref="D21" r:id="rId1"/>
    <hyperlink ref="C22" r:id="rId2" display="https://sfedu.ru/files/upload/sts/70267/Chizikov.png"/>
  </hyperlinks>
  <pageMargins left="0.7" right="0.7" top="0.75" bottom="0.75" header="0.3" footer="0.3"/>
  <pageSetup paperSize="9" orientation="portrait" horizontalDpi="360" verticalDpi="36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18"/>
  <sheetViews>
    <sheetView tabSelected="1" workbookViewId="0">
      <selection activeCell="E4" sqref="E4"/>
    </sheetView>
  </sheetViews>
  <sheetFormatPr defaultColWidth="11" defaultRowHeight="15.75" x14ac:dyDescent="0.25"/>
  <cols>
    <col min="1" max="1" width="43.625" customWidth="1"/>
    <col min="2" max="2" width="33.125" customWidth="1"/>
    <col min="3" max="3" width="23.375" customWidth="1"/>
    <col min="4" max="4" width="33.125" customWidth="1"/>
    <col min="5" max="5" width="19.5" customWidth="1"/>
    <col min="6" max="6" width="16.625" customWidth="1"/>
    <col min="7" max="7" width="17.625" style="3" customWidth="1"/>
    <col min="8" max="8" width="24.875" style="3" customWidth="1"/>
  </cols>
  <sheetData>
    <row r="1" spans="1:8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/>
    </row>
    <row r="2" spans="1:8" ht="15.95" customHeight="1" x14ac:dyDescent="0.25">
      <c r="A2" t="s">
        <v>28</v>
      </c>
      <c r="B2" t="s">
        <v>7</v>
      </c>
      <c r="C2" t="s">
        <v>60</v>
      </c>
      <c r="D2" t="s">
        <v>61</v>
      </c>
      <c r="E2" t="s">
        <v>62</v>
      </c>
      <c r="G2" t="s">
        <v>63</v>
      </c>
      <c r="H2" s="4" t="str">
        <f>"&lt;div class=""__yg-card""&gt;
	&lt;div class=""__yg-card-title"" title="""&amp;A2&amp;"""&gt;&lt;strong&gt;"&amp;B2&amp;"&lt;/strong&gt;
	&lt;/div&gt;
	&lt;div class=""__yg-card-photo""&gt;&lt;img src=""/files/upload/sts/70267/"&amp;C2&amp;"""/&gt;&lt;/div&gt;
	&lt;div class=""__yg-card-info""&gt;
		&lt;p&gt;&lt;strong&gt;&lt;a href="""&amp;D2&amp;"""&gt;"&amp;E2&amp;"&lt;/a&gt;&lt;/strong&gt;&lt;/p&gt;
		&lt;hr/&gt;
		"&amp;IF(ISBLANK(F2),"","&lt;p&gt;&lt;strong&gt;Срок полномочий:&lt;/strong&gt;&lt;br/&gt;
			"&amp;F2&amp;"&lt;/p&gt;
		")&amp;"&lt;p&gt;&lt;strong&gt;Телефон:&lt;/strong&gt;&lt;br/&gt;
			&lt;a href=""tel:"&amp;MID(G2,1,2)&amp;MID(G2,4,5)&amp;MID(G2,10,9)&amp;"""&gt;"&amp;G2&amp;"&lt;/a&gt;&lt;/p&gt;
	&lt;/div&gt;
&lt;/div&gt;"</f>
        <v>&lt;div class="__yg-card"&gt;
	&lt;div class="__yg-card-title" title="Волонтёрский центр"&gt;&lt;strong&gt;ВЦ&lt;/strong&gt;
	&lt;/div&gt;
	&lt;div class="__yg-card-photo"&gt;&lt;img src="/files/upload/sts/70267/yXuB2hp_7lg.jpg"/&gt;&lt;/div&gt;
	&lt;div class="__yg-card-info"&gt;
		&lt;p&gt;&lt;strong&gt;&lt;a href="https://vk.com/ryyasna"&gt;Ряснянская Дарья&lt;/a&gt;&lt;/strong&gt;&lt;/p&gt;
		&lt;hr/&gt;
		&lt;p&gt;&lt;strong&gt;Телефон:&lt;/strong&gt;&lt;br/&gt;
			&lt;a href="tel:+7(988)560-02-02"&gt;+7 (988) 560-02-02 &lt;/a&gt;&lt;/p&gt;
	&lt;/div&gt;
&lt;/div&gt;</v>
      </c>
    </row>
    <row r="3" spans="1:8" ht="15.95" customHeight="1" x14ac:dyDescent="0.25">
      <c r="A3" t="s">
        <v>29</v>
      </c>
      <c r="B3" t="s">
        <v>8</v>
      </c>
      <c r="C3" t="s">
        <v>64</v>
      </c>
      <c r="D3" t="s">
        <v>65</v>
      </c>
      <c r="E3" t="s">
        <v>308</v>
      </c>
      <c r="G3" t="s">
        <v>66</v>
      </c>
      <c r="H3" s="4" t="str">
        <f t="shared" ref="H3:H18" si="0">"&lt;div class=""__yg-card""&gt;
	&lt;div class=""__yg-card-title"" title="""&amp;A3&amp;"""&gt;&lt;strong&gt;"&amp;B3&amp;"&lt;/strong&gt;
	&lt;/div&gt;
	&lt;div class=""__yg-card-photo""&gt;&lt;img src=""/files/upload/sts/70267/"&amp;C3&amp;"""/&gt;&lt;/div&gt;
	&lt;div class=""__yg-card-info""&gt;
		&lt;p&gt;&lt;strong&gt;&lt;a href="""&amp;D3&amp;"""&gt;"&amp;E3&amp;"&lt;/a&gt;&lt;/strong&gt;&lt;/p&gt;
		&lt;hr/&gt;
		"&amp;IF(ISBLANK(F3),"","&lt;p&gt;&lt;strong&gt;Срок полномочий:&lt;/strong&gt;&lt;br/&gt;
			"&amp;F3&amp;"&lt;/p&gt;
		")&amp;"&lt;p&gt;&lt;strong&gt;Телефон:&lt;/strong&gt;&lt;br/&gt;
			&lt;a href=""tel:"&amp;MID(G3,1,2)&amp;MID(G3,4,5)&amp;MID(G3,10,9)&amp;"""&gt;"&amp;G3&amp;"&lt;/a&gt;&lt;/p&gt;
	&lt;/div&gt;
&lt;/div&gt;"</f>
        <v>&lt;div class="__yg-card"&gt;
	&lt;div class="__yg-card-title" title="Студенческий информационный центр"&gt;&lt;strong&gt;СИЦ&lt;/strong&gt;
	&lt;/div&gt;
	&lt;div class="__yg-card-photo"&gt;&lt;img src="/files/upload/sts/70267/Шинкаренко.jpg"/&gt;&lt;/div&gt;
	&lt;div class="__yg-card-info"&gt;
		&lt;p&gt;&lt;strong&gt;&lt;a href="https://vk.com/vet_ochka"&gt;&lt;arn&gt;Шинкаренко Виолетта&lt;/arn&gt;&lt;/a&gt;&lt;/strong&gt;&lt;/p&gt;
		&lt;hr/&gt;
		&lt;p&gt;&lt;strong&gt;Телефон:&lt;/strong&gt;&lt;br/&gt;
			&lt;a href="tel:+7(988)251-56-81"&gt;+7 (988) 251-56-81 &lt;/a&gt;&lt;/p&gt;
	&lt;/div&gt;
&lt;/div&gt;</v>
      </c>
    </row>
    <row r="4" spans="1:8" ht="15.95" customHeight="1" x14ac:dyDescent="0.25">
      <c r="A4" t="s">
        <v>31</v>
      </c>
      <c r="B4" t="s">
        <v>269</v>
      </c>
      <c r="C4" t="s">
        <v>55</v>
      </c>
      <c r="D4" t="s">
        <v>42</v>
      </c>
      <c r="E4" t="s">
        <v>9</v>
      </c>
      <c r="G4" t="s">
        <v>47</v>
      </c>
      <c r="H4" s="4" t="str">
        <f t="shared" si="0"/>
        <v>&lt;div class="__yg-card"&gt;
	&lt;div class="__yg-card-title" title="Открытая лига интеллектуальных игр ЮФУ"&gt;&lt;strong&gt;ЛИИ&lt;/strong&gt;
	&lt;/div&gt;
	&lt;div class="__yg-card-photo"&gt;&lt;img src="/files/upload/sts/70267/Varlamova_LIG.jpg"/&gt;&lt;/div&gt;
	&lt;div class="__yg-card-info"&gt;
		&lt;p&gt;&lt;strong&gt;&lt;a href="https://vk.com/id227078696"&gt;Варламова Елена&lt;/a&gt;&lt;/strong&gt;&lt;/p&gt;
		&lt;hr/&gt;
		&lt;p&gt;&lt;strong&gt;Телефон:&lt;/strong&gt;&lt;br/&gt;
			&lt;a href="tel:+7(961)332-19-56"&gt;+7 (961) 332-19-56&lt;/a&gt;&lt;/p&gt;
	&lt;/div&gt;
&lt;/div&gt;</v>
      </c>
    </row>
    <row r="5" spans="1:8" ht="15.95" customHeight="1" x14ac:dyDescent="0.25">
      <c r="A5" t="s">
        <v>30</v>
      </c>
      <c r="B5" t="s">
        <v>10</v>
      </c>
      <c r="C5" t="s">
        <v>67</v>
      </c>
      <c r="D5" t="s">
        <v>68</v>
      </c>
      <c r="E5" t="s">
        <v>69</v>
      </c>
      <c r="G5" t="s">
        <v>70</v>
      </c>
      <c r="H5" s="4" t="str">
        <f t="shared" si="0"/>
        <v>&lt;div class="__yg-card"&gt;
	&lt;div class="__yg-card-title" title="Студенческий спортивный клуб"&gt;&lt;strong&gt;ССК&lt;/strong&gt;
	&lt;/div&gt;
	&lt;div class="__yg-card-photo"&gt;&lt;img src="/files/upload/sts/70267/Василенко.jpg"/&gt;&lt;/div&gt;
	&lt;div class="__yg-card-info"&gt;
		&lt;p&gt;&lt;strong&gt;&lt;a href="https://vk.com/sqwozson"&gt;Василенко Игорь&lt;/a&gt;&lt;/strong&gt;&lt;/p&gt;
		&lt;hr/&gt;
		&lt;p&gt;&lt;strong&gt;Телефон:&lt;/strong&gt;&lt;br/&gt;
			&lt;a href="tel:+7(988)552-83-82"&gt;+7 (988) 552-83-82 &lt;/a&gt;&lt;/p&gt;
	&lt;/div&gt;
&lt;/div&gt;</v>
      </c>
    </row>
    <row r="6" spans="1:8" ht="15.95" customHeight="1" x14ac:dyDescent="0.25">
      <c r="A6" t="s">
        <v>32</v>
      </c>
      <c r="B6" t="s">
        <v>11</v>
      </c>
      <c r="C6" t="s">
        <v>53</v>
      </c>
      <c r="D6" t="s">
        <v>43</v>
      </c>
      <c r="E6" t="s">
        <v>12</v>
      </c>
      <c r="G6" t="s">
        <v>71</v>
      </c>
      <c r="H6" s="4" t="str">
        <f t="shared" si="0"/>
        <v>&lt;div class="__yg-card"&gt;
	&lt;div class="__yg-card-title" title="Совет обучающихся по качеству образования"&gt;&lt;strong&gt;Совет по КО&lt;/strong&gt;
	&lt;/div&gt;
	&lt;div class="__yg-card-photo"&gt;&lt;img src="/files/upload/sts/70267/Kuchma_SpPKO.jpg"/&gt;&lt;/div&gt;
	&lt;div class="__yg-card-info"&gt;
		&lt;p&gt;&lt;strong&gt;&lt;a href="https://vk.com/dorylagans"&gt;Кучма Дарья&lt;/a&gt;&lt;/strong&gt;&lt;/p&gt;
		&lt;hr/&gt;
		&lt;p&gt;&lt;strong&gt;Телефон:&lt;/strong&gt;&lt;br/&gt;
			&lt;a href="tel:+7(928)602-72-07"&gt;+7 (928) 602-72-07&lt;/a&gt;&lt;/p&gt;
	&lt;/div&gt;
&lt;/div&gt;</v>
      </c>
    </row>
    <row r="7" spans="1:8" ht="15.95" customHeight="1" x14ac:dyDescent="0.25">
      <c r="A7" t="s">
        <v>33</v>
      </c>
      <c r="B7" t="s">
        <v>13</v>
      </c>
      <c r="C7" t="s">
        <v>72</v>
      </c>
      <c r="D7" t="s">
        <v>73</v>
      </c>
      <c r="E7" t="s">
        <v>74</v>
      </c>
      <c r="G7" s="3" t="s">
        <v>75</v>
      </c>
      <c r="H7" s="4" t="str">
        <f t="shared" si="0"/>
        <v>&lt;div class="__yg-card"&gt;
	&lt;div class="__yg-card-title" title="Историко-патриотический центр"&gt;&lt;strong&gt;ИПЦ&lt;/strong&gt;
	&lt;/div&gt;
	&lt;div class="__yg-card-photo"&gt;&lt;img src="/files/upload/sts/70267/Аствацатуров.jpg"/&gt;&lt;/div&gt;
	&lt;div class="__yg-card-info"&gt;
		&lt;p&gt;&lt;strong&gt;&lt;a href="https://vk.com/aastvatsaturov"&gt;Аствацатуров Артем&lt;/a&gt;&lt;/strong&gt;&lt;/p&gt;
		&lt;hr/&gt;
		&lt;p&gt;&lt;strong&gt;Телефон:&lt;/strong&gt;&lt;br/&gt;
			&lt;a href="tel:+7(928)213-38-78"&gt;+7 (928) 213-38-78&lt;/a&gt;&lt;/p&gt;
	&lt;/div&gt;
&lt;/div&gt;</v>
      </c>
    </row>
    <row r="8" spans="1:8" ht="15.95" customHeight="1" x14ac:dyDescent="0.25">
      <c r="A8" t="s">
        <v>34</v>
      </c>
      <c r="B8" t="s">
        <v>14</v>
      </c>
      <c r="C8" t="s">
        <v>76</v>
      </c>
      <c r="D8" t="s">
        <v>77</v>
      </c>
      <c r="E8" t="s">
        <v>78</v>
      </c>
      <c r="G8" t="s">
        <v>79</v>
      </c>
      <c r="H8" s="4" t="str">
        <f t="shared" si="0"/>
        <v>&lt;div class="__yg-card"&gt;
	&lt;div class="__yg-card-title" title="Интернациональный клуб ЮФУ"&gt;&lt;strong&gt;Интерклуб&lt;/strong&gt;
	&lt;/div&gt;
	&lt;div class="__yg-card-photo"&gt;&lt;img src="/files/upload/sts/70267/Феликс.jpg"/&gt;&lt;/div&gt;
	&lt;div class="__yg-card-info"&gt;
		&lt;p&gt;&lt;strong&gt;&lt;a href="https://vk.com/felixpadilla96"&gt;Феликс Падилья&lt;/a&gt;&lt;/strong&gt;&lt;/p&gt;
		&lt;hr/&gt;
		&lt;p&gt;&lt;strong&gt;Телефон:&lt;/strong&gt;&lt;br/&gt;
			&lt;a href="tel:+7(952)565-67-51"&gt;+7 (952) 565-67-51 &lt;/a&gt;&lt;/p&gt;
	&lt;/div&gt;
&lt;/div&gt;</v>
      </c>
    </row>
    <row r="9" spans="1:8" ht="15.95" customHeight="1" x14ac:dyDescent="0.25">
      <c r="A9" t="s">
        <v>35</v>
      </c>
      <c r="B9" t="s">
        <v>15</v>
      </c>
      <c r="C9" t="s">
        <v>56</v>
      </c>
      <c r="D9" t="s">
        <v>49</v>
      </c>
      <c r="E9" t="s">
        <v>16</v>
      </c>
      <c r="G9" t="s">
        <v>80</v>
      </c>
      <c r="H9" s="4" t="str">
        <f t="shared" si="0"/>
        <v>&lt;div class="__yg-card"&gt;
	&lt;div class="__yg-card-title" title="Корпус студенческого наставничества"&gt;&lt;strong&gt;КСН&lt;/strong&gt;
	&lt;/div&gt;
	&lt;div class="__yg-card-photo"&gt;&lt;img src="/files/upload/sts/70267/Tolsouhov_CST.jpg"/&gt;&lt;/div&gt;
	&lt;div class="__yg-card-info"&gt;
		&lt;p&gt;&lt;strong&gt;&lt;a href="https://vk.com/gikrid"&gt;Толстоухов Игорь&lt;/a&gt;&lt;/strong&gt;&lt;/p&gt;
		&lt;hr/&gt;
		&lt;p&gt;&lt;strong&gt;Телефон:&lt;/strong&gt;&lt;br/&gt;
			&lt;a href="tel:+7(918)166-63-16"&gt;+7 (918) 166-63-16 &lt;/a&gt;&lt;/p&gt;
	&lt;/div&gt;
&lt;/div&gt;</v>
      </c>
    </row>
    <row r="10" spans="1:8" ht="15.95" customHeight="1" x14ac:dyDescent="0.25">
      <c r="B10" t="s">
        <v>36</v>
      </c>
      <c r="C10" t="s">
        <v>50</v>
      </c>
      <c r="D10" t="s">
        <v>44</v>
      </c>
      <c r="E10" t="s">
        <v>17</v>
      </c>
      <c r="G10" t="s">
        <v>81</v>
      </c>
      <c r="H10" s="4" t="str">
        <f t="shared" si="0"/>
        <v>&lt;div class="__yg-card"&gt;
	&lt;div class="__yg-card-title" title=""&gt;&lt;strong&gt;Вкурсе.TV&lt;/strong&gt;
	&lt;/div&gt;
	&lt;div class="__yg-card-photo"&gt;&lt;img src="/files/upload/sts/70267/Gedz_Vkurse.jpg"/&gt;&lt;/div&gt;
	&lt;div class="__yg-card-info"&gt;
		&lt;p&gt;&lt;strong&gt;&lt;a href="https://vk.com/gedzbully"&gt;Гедз Александр&lt;/a&gt;&lt;/strong&gt;&lt;/p&gt;
		&lt;hr/&gt;
		&lt;p&gt;&lt;strong&gt;Телефон:&lt;/strong&gt;&lt;br/&gt;
			&lt;a href="tel:+7(989)705-18-37"&gt;+7 (989) 705-18-37 &lt;/a&gt;&lt;/p&gt;
	&lt;/div&gt;
&lt;/div&gt;</v>
      </c>
    </row>
    <row r="11" spans="1:8" ht="15.95" customHeight="1" x14ac:dyDescent="0.25">
      <c r="B11" t="s">
        <v>37</v>
      </c>
      <c r="C11" t="s">
        <v>82</v>
      </c>
      <c r="D11" t="s">
        <v>83</v>
      </c>
      <c r="E11" t="s">
        <v>84</v>
      </c>
      <c r="G11" t="s">
        <v>85</v>
      </c>
      <c r="H11" s="4" t="str">
        <f t="shared" si="0"/>
        <v>&lt;div class="__yg-card"&gt;
	&lt;div class="__yg-card-title" title=""&gt;&lt;strong&gt;LENS&lt;/strong&gt;
	&lt;/div&gt;
	&lt;div class="__yg-card-photo"&gt;&lt;img src="/files/upload/sts/70267/Хурда.jpg"/&gt;&lt;/div&gt;
	&lt;div class="__yg-card-info"&gt;
		&lt;p&gt;&lt;strong&gt;&lt;a href="https://vk.com/s.khurda"&gt;Хурда Светлана&lt;/a&gt;&lt;/strong&gt;&lt;/p&gt;
		&lt;hr/&gt;
		&lt;p&gt;&lt;strong&gt;Телефон:&lt;/strong&gt;&lt;br/&gt;
			&lt;a href="tel:+7(918)376-35-00"&gt;+7 (918) 376-35-00 &lt;/a&gt;&lt;/p&gt;
	&lt;/div&gt;
&lt;/div&gt;</v>
      </c>
    </row>
    <row r="12" spans="1:8" ht="15.95" customHeight="1" x14ac:dyDescent="0.25">
      <c r="B12" t="s">
        <v>25</v>
      </c>
      <c r="C12" t="s">
        <v>58</v>
      </c>
      <c r="D12" t="s">
        <v>48</v>
      </c>
      <c r="E12" t="s">
        <v>18</v>
      </c>
      <c r="G12" t="s">
        <v>86</v>
      </c>
      <c r="H12" s="4" t="str">
        <f t="shared" si="0"/>
        <v>&lt;div class="__yg-card"&gt;
	&lt;div class="__yg-card-title" title=""&gt;&lt;strong&gt;SFEDUMEDIA&lt;/strong&gt;
	&lt;/div&gt;
	&lt;div class="__yg-card-photo"&gt;&lt;img src="/files/upload/sts/70267/Kostina_SFEDUmedia.jpg"/&gt;&lt;/div&gt;
	&lt;div class="__yg-card-info"&gt;
		&lt;p&gt;&lt;strong&gt;&lt;a href="https://vk.com/id272798051"&gt;Костина Анна&lt;/a&gt;&lt;/strong&gt;&lt;/p&gt;
		&lt;hr/&gt;
		&lt;p&gt;&lt;strong&gt;Телефон:&lt;/strong&gt;&lt;br/&gt;
			&lt;a href="tel:+7(928)771-41-94"&gt;+7 (928) 771-41-94 &lt;/a&gt;&lt;/p&gt;
	&lt;/div&gt;
&lt;/div&gt;</v>
      </c>
    </row>
    <row r="13" spans="1:8" ht="15.95" customHeight="1" x14ac:dyDescent="0.25">
      <c r="A13" t="s">
        <v>38</v>
      </c>
      <c r="B13" t="s">
        <v>19</v>
      </c>
      <c r="C13" t="s">
        <v>87</v>
      </c>
      <c r="D13" t="s">
        <v>88</v>
      </c>
      <c r="E13" t="s">
        <v>89</v>
      </c>
      <c r="G13" t="s">
        <v>90</v>
      </c>
      <c r="H13" s="4" t="str">
        <f t="shared" si="0"/>
        <v>&lt;div class="__yg-card"&gt;
	&lt;div class="__yg-card-title" title="Художественный совет ЮФУ"&gt;&lt;strong&gt;Худсовет&lt;/strong&gt;
	&lt;/div&gt;
	&lt;div class="__yg-card-photo"&gt;&lt;img src="/files/upload/sts/70267/Старук.jpg"/&gt;&lt;/div&gt;
	&lt;div class="__yg-card-info"&gt;
		&lt;p&gt;&lt;strong&gt;&lt;a href="https://vk.com/aaarina_s"&gt;Старук Арина&lt;/a&gt;&lt;/strong&gt;&lt;/p&gt;
		&lt;hr/&gt;
		&lt;p&gt;&lt;strong&gt;Телефон:&lt;/strong&gt;&lt;br/&gt;
			&lt;a href="tel:+7(988)948-76-41"&gt;+7 (988) 948-76-41 &lt;/a&gt;&lt;/p&gt;
	&lt;/div&gt;
&lt;/div&gt;</v>
      </c>
    </row>
    <row r="14" spans="1:8" ht="15.95" customHeight="1" x14ac:dyDescent="0.25">
      <c r="A14" t="s">
        <v>57</v>
      </c>
      <c r="B14" t="s">
        <v>20</v>
      </c>
      <c r="C14" t="s">
        <v>91</v>
      </c>
      <c r="D14" t="s">
        <v>92</v>
      </c>
      <c r="E14" t="s">
        <v>93</v>
      </c>
      <c r="G14" t="s">
        <v>94</v>
      </c>
      <c r="H14" s="4" t="str">
        <f t="shared" si="0"/>
        <v>&lt;div class="__yg-card"&gt;
	&lt;div class="__yg-card-title" title="Штаб студенческих отрядов ЮФУ"&gt;&lt;strong&gt;ШСО&lt;/strong&gt;
	&lt;/div&gt;
	&lt;div class="__yg-card-photo"&gt;&lt;img src="/files/upload/sts/70267/Харин.jpg"/&gt;&lt;/div&gt;
	&lt;div class="__yg-card-info"&gt;
		&lt;p&gt;&lt;strong&gt;&lt;a href="https://vk.com/hahahahaharin"&gt;Харин Илья&lt;/a&gt;&lt;/strong&gt;&lt;/p&gt;
		&lt;hr/&gt;
		&lt;p&gt;&lt;strong&gt;Телефон:&lt;/strong&gt;&lt;br/&gt;
			&lt;a href="tel:+7(988)545-13-57"&gt;+7 (988) 545-13-57 &lt;/a&gt;&lt;/p&gt;
	&lt;/div&gt;
&lt;/div&gt;</v>
      </c>
    </row>
    <row r="15" spans="1:8" ht="15.95" customHeight="1" x14ac:dyDescent="0.25">
      <c r="A15" t="s">
        <v>39</v>
      </c>
      <c r="B15" t="s">
        <v>21</v>
      </c>
      <c r="C15" t="s">
        <v>95</v>
      </c>
      <c r="D15" t="s">
        <v>96</v>
      </c>
      <c r="E15" t="s">
        <v>97</v>
      </c>
      <c r="G15" t="s">
        <v>98</v>
      </c>
      <c r="H15" s="4" t="str">
        <f t="shared" si="0"/>
        <v>&lt;div class="__yg-card"&gt;
	&lt;div class="__yg-card-title" title="Ростовская лига дебатов"&gt;&lt;strong&gt;Лига дебатов&lt;/strong&gt;
	&lt;/div&gt;
	&lt;div class="__yg-card-photo"&gt;&lt;img src="/files/upload/sts/70267/Клачарская.jpg"/&gt;&lt;/div&gt;
	&lt;div class="__yg-card-info"&gt;
		&lt;p&gt;&lt;strong&gt;&lt;a href="https://vk.com/small_muchacha"&gt;Клачарская Арина&lt;/a&gt;&lt;/strong&gt;&lt;/p&gt;
		&lt;hr/&gt;
		&lt;p&gt;&lt;strong&gt;Телефон:&lt;/strong&gt;&lt;br/&gt;
			&lt;a href="tel:+7(988)258-05-34"&gt;+7 (988) 258-05-34 &lt;/a&gt;&lt;/p&gt;
	&lt;/div&gt;
&lt;/div&gt;</v>
      </c>
    </row>
    <row r="16" spans="1:8" ht="15.95" customHeight="1" x14ac:dyDescent="0.25">
      <c r="A16" t="s">
        <v>40</v>
      </c>
      <c r="B16" t="s">
        <v>22</v>
      </c>
      <c r="C16" t="s">
        <v>54</v>
      </c>
      <c r="D16" t="s">
        <v>45</v>
      </c>
      <c r="E16" t="s">
        <v>23</v>
      </c>
      <c r="G16" t="s">
        <v>99</v>
      </c>
      <c r="H16" s="4" t="str">
        <f t="shared" si="0"/>
        <v>&lt;div class="__yg-card"&gt;
	&lt;div class="__yg-card-title" title="Кадровое агентство ОСО"&gt;&lt;strong&gt;Кадровое агентство&lt;/strong&gt;
	&lt;/div&gt;
	&lt;div class="__yg-card-photo"&gt;&lt;img src="/files/upload/sts/70267/Mnacakanyan_Kadri.jpg"/&gt;&lt;/div&gt;
	&lt;div class="__yg-card-info"&gt;
		&lt;p&gt;&lt;strong&gt;&lt;a href="https://vk.com/mihailmn"&gt;Мнацаканян Михаил&lt;/a&gt;&lt;/strong&gt;&lt;/p&gt;
		&lt;hr/&gt;
		&lt;p&gt;&lt;strong&gt;Телефон:&lt;/strong&gt;&lt;br/&gt;
			&lt;a href="tel:+7(928)107-89-14"&gt;+7 (928) 107-89-14 &lt;/a&gt;&lt;/p&gt;
	&lt;/div&gt;
&lt;/div&gt;</v>
      </c>
    </row>
    <row r="17" spans="1:8" ht="15.95" customHeight="1" x14ac:dyDescent="0.25">
      <c r="A17" t="s">
        <v>51</v>
      </c>
      <c r="B17" t="s">
        <v>52</v>
      </c>
      <c r="C17" t="s">
        <v>100</v>
      </c>
      <c r="D17" t="s">
        <v>101</v>
      </c>
      <c r="E17" t="s">
        <v>102</v>
      </c>
      <c r="G17" t="s">
        <v>103</v>
      </c>
      <c r="H17" s="4" t="str">
        <f t="shared" si="0"/>
        <v>&lt;div class="__yg-card"&gt;
	&lt;div class="__yg-card-title" title="Корпус общественных наблюдателей"&gt;&lt;strong&gt;КОН&lt;/strong&gt;
	&lt;/div&gt;
	&lt;div class="__yg-card-photo"&gt;&lt;img src="/files/upload/sts/70267/Афанасьев.jpg"/&gt;&lt;/div&gt;
	&lt;div class="__yg-card-info"&gt;
		&lt;p&gt;&lt;strong&gt;&lt;a href="https://vk.com/aflski"&gt;Афанасьев Александр&lt;/a&gt;&lt;/strong&gt;&lt;/p&gt;
		&lt;hr/&gt;
		&lt;p&gt;&lt;strong&gt;Телефон:&lt;/strong&gt;&lt;br/&gt;
			&lt;a href="tel:+7(988)255-24-91"&gt;+7 (988) 255-24-91 &lt;/a&gt;&lt;/p&gt;
	&lt;/div&gt;
&lt;/div&gt;</v>
      </c>
    </row>
    <row r="18" spans="1:8" ht="15.95" customHeight="1" x14ac:dyDescent="0.25">
      <c r="A18" t="s">
        <v>27</v>
      </c>
      <c r="B18" t="s">
        <v>26</v>
      </c>
      <c r="C18" t="s">
        <v>59</v>
      </c>
      <c r="D18" t="s">
        <v>46</v>
      </c>
      <c r="E18" t="s">
        <v>24</v>
      </c>
      <c r="G18" t="s">
        <v>104</v>
      </c>
      <c r="H18" s="4" t="str">
        <f t="shared" si="0"/>
        <v>&lt;div class="__yg-card"&gt;
	&lt;div class="__yg-card-title" title="Экологическое объединение ЮФУ"&gt;&lt;strong&gt;ЭкоЮФУ&lt;/strong&gt;
	&lt;/div&gt;
	&lt;div class="__yg-card-photo"&gt;&lt;img src="/files/upload/sts/70267/Lapigin_Eco_1.jpg"/&gt;&lt;/div&gt;
	&lt;div class="__yg-card-info"&gt;
		&lt;p&gt;&lt;strong&gt;&lt;a href="https://vk.com/dmitriylapygin"&gt;Лапыгин Дмитрий&lt;/a&gt;&lt;/strong&gt;&lt;/p&gt;
		&lt;hr/&gt;
		&lt;p&gt;&lt;strong&gt;Телефон:&lt;/strong&gt;&lt;br/&gt;
			&lt;a href="tel:+7(950)856-35-33"&gt;+7 (950) 856-35-33 &lt;/a&gt;&lt;/p&gt;
	&lt;/div&gt;
&lt;/div&gt;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ИТОГ</vt:lpstr>
      <vt:lpstr>Председатель ОСО и заместители</vt:lpstr>
      <vt:lpstr>Председатели СО СП</vt:lpstr>
      <vt:lpstr>Руководители студобъединений</vt:lpstr>
      <vt:lpstr>'Председатель ОСО и заместители'!oso1_</vt:lpstr>
      <vt:lpstr>'Председатели СО СП'!oso2_</vt:lpstr>
      <vt:lpstr>'Руководители студобъединений'!oso3_</vt:lpstr>
      <vt:lpstr>'Руководители студобъединений'!untitled_text_1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Савельев</dc:creator>
  <cp:lastModifiedBy>Михаил Савельев</cp:lastModifiedBy>
  <dcterms:created xsi:type="dcterms:W3CDTF">2022-08-29T15:56:05Z</dcterms:created>
  <dcterms:modified xsi:type="dcterms:W3CDTF">2023-06-29T19:38:11Z</dcterms:modified>
</cp:coreProperties>
</file>